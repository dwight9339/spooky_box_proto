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d2246717b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Map" sheetId="1" r:id="R75679d877cf048a4"/>
    <x:sheet xmlns:r="http://schemas.openxmlformats.org/officeDocument/2006/relationships" name="Workspace Index" sheetId="2" r:id="R1201c4fe27274527"/>
    <x:sheet xmlns:r="http://schemas.openxmlformats.org/officeDocument/2006/relationships" name="Preset Model" sheetId="3" r:id="R3f01bf6af80643b7"/>
    <x:sheet xmlns:r="http://schemas.openxmlformats.org/officeDocument/2006/relationships" name="Open Decisions" sheetId="4" r:id="R7e7a0e35599c42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72033"/>
      <x:name val="Arial"/>
    </x:font>
    <x:font>
      <x:i/>
      <x:sz val="10"/>
      <x:color rgb="FF5F6B7A"/>
      <x:name val="Arial"/>
    </x:font>
    <x:font>
      <x:b/>
      <x:sz val="10"/>
      <x:color rgb="FF273469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73469"/>
      </x:patternFill>
    </x:fill>
    <x:fill>
      <x:patternFill patternType="solid">
        <x:fgColor rgb="FF2F5D8C"/>
      </x:patternFill>
    </x:fill>
    <x:fill>
      <x:patternFill patternType="solid">
        <x:fgColor rgb="FF28756E"/>
      </x:patternFill>
    </x:fill>
    <x:fill>
      <x:patternFill patternType="solid">
        <x:fgColor rgb="FFB76E22"/>
      </x:patternFill>
    </x:fill>
  </x:fills>
  <x:borders count="4">
    <x:border/>
    <x:border>
      <x:bottom style="thin">
        <x:color rgb="FFD8DEE9"/>
      </x:bottom>
    </x:border>
    <x:border>
      <x:bottom style="medium">
        <x:color rgb="FF273469"/>
      </x:bottom>
    </x:border>
    <x:border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236A35"/>
      </x:font>
      <x:fill>
        <x:patternFill patternType="solid">
          <x:bgColor rgb="FFE8F4EA"/>
        </x:patternFill>
      </x:fill>
    </x:dxf>
    <x:dxf>
      <x:font>
        <x:b/>
        <x:color rgb="FF2F5D8C"/>
      </x:font>
      <x:fill>
        <x:patternFill patternType="solid">
          <x:bgColor rgb="FFEAF1F8"/>
        </x:patternFill>
      </x:fill>
    </x:dxf>
    <x:dxf>
      <x:font>
        <x:b/>
        <x:color rgb="FF8A4E12"/>
      </x:font>
      <x:fill>
        <x:patternFill patternType="solid">
          <x:bgColor rgb="FFFFF1DC"/>
        </x:patternFill>
      </x:fill>
    </x:dxf>
    <x:dxf>
      <x:font>
        <x:b/>
        <x:color rgb="FF8A4E12"/>
      </x:font>
      <x:fill>
        <x:patternFill patternType="solid">
          <x:bgColor rgb="FFFFF1DC"/>
        </x:patternFill>
      </x:fill>
    </x:dxf>
    <x:dxf>
      <x:font>
        <x:b/>
        <x:color rgb="FF2F5D8C"/>
      </x:font>
      <x:fill>
        <x:patternFill patternType="solid">
          <x:bgColor rgb="FFEAF1F8"/>
        </x:patternFill>
      </x:fill>
    </x:dxf>
    <x:dxf>
      <x:font>
        <x:b/>
        <x:color rgb="FF236A35"/>
      </x:font>
      <x:fill>
        <x:patternFill patternType="solid">
          <x:bgColor rgb="FFE8F4EA"/>
        </x:patternFill>
      </x:fill>
    </x:dxf>
    <x:dxf>
      <x:font>
        <x:b/>
        <x:color rgb="FF8A4E12"/>
      </x:font>
      <x:fill>
        <x:patternFill patternType="solid">
          <x:bgColor rgb="FFFFF1DC"/>
        </x:patternFill>
      </x:fill>
    </x:dxf>
    <x:dxf>
      <x:font>
        <x:b/>
        <x:color rgb="FF8A4E12"/>
      </x:font>
      <x:fill>
        <x:patternFill patternType="solid">
          <x:bgColor rgb="FFFFF1DC"/>
        </x:patternFill>
      </x:fill>
    </x:dxf>
    <x:dxf>
      <x:font>
        <x:b/>
        <x:color rgb="FF9D251D"/>
      </x:font>
      <x:fill>
        <x:patternFill patternType="solid">
          <x:bgColor rgb="FFFCE8E6"/>
        </x:patternFill>
      </x:fill>
    </x:dxf>
    <x:dxf>
      <x:font>
        <x:b/>
        <x:color rgb="FF8A4E12"/>
      </x:font>
      <x:fill>
        <x:patternFill patternType="solid">
          <x:bgColor rgb="FFFFF1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7561927414cac" /><Relationship Type="http://schemas.openxmlformats.org/officeDocument/2006/relationships/theme" Target="/xl/theme/theme1.xml" Id="Ra0b9e66dbb3d4696" /><Relationship Type="http://schemas.openxmlformats.org/officeDocument/2006/relationships/sharedStrings" Target="/xl/sharedStrings.xml" Id="R7a8679db4a2942e5" /><Relationship Type="http://schemas.openxmlformats.org/officeDocument/2006/relationships/worksheet" Target="/xl/worksheets/sheet1.xml" Id="R75679d877cf048a4" /><Relationship Type="http://schemas.openxmlformats.org/officeDocument/2006/relationships/worksheet" Target="/xl/worksheets/sheet2.xml" Id="R1201c4fe27274527" /><Relationship Type="http://schemas.openxmlformats.org/officeDocument/2006/relationships/worksheet" Target="/xl/worksheets/sheet3.xml" Id="R3f01bf6af80643b7" /><Relationship Type="http://schemas.openxmlformats.org/officeDocument/2006/relationships/worksheet" Target="/xl/worksheets/sheet4.xml" Id="R7e7a0e35599c4215" /></Relationships>
</file>

<file path=xl/tables/table1.xml><?xml version="1.0" encoding="utf-8"?>
<x:table xmlns:x="http://schemas.openxmlformats.org/spreadsheetml/2006/main" id="1" name="ControlBindingsTable" displayName="ControlBindingsTable" ref="A5:L94" headerRowCount="1" totalsRowCount="0" totalsRowShown="0">
  <x:autoFilter ref="A5:L94"/>
  <x:tableColumns count="12">
    <x:tableColumn id="1" name="Binding ID"/>
    <x:tableColumn id="2" name="Mode"/>
    <x:tableColumn id="3" name="Workspace"/>
    <x:tableColumn id="4" name="State or focus"/>
    <x:tableColumn id="5" name="Layer"/>
    <x:tableColumn id="6" name="Control"/>
    <x:tableColumn id="7" name="Gesture"/>
    <x:tableColumn id="8" name="Action"/>
    <x:tableColumn id="9" name="Result or destination"/>
    <x:tableColumn id="10" name="Status"/>
    <x:tableColumn id="11" name="Origin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paceIndexTable" displayName="WorkspaceIndexTable" ref="A5:G25" headerRowCount="1" totalsRowCount="0" totalsRowShown="0">
  <x:tableColumns count="7">
    <x:tableColumn id="1" name="Mode"/>
    <x:tableColumn id="2" name="Workspace"/>
    <x:tableColumn id="3" name="Parent"/>
    <x:tableColumn id="4" name="Entry"/>
    <x:tableColumn id="5" name="Exit"/>
    <x:tableColumn id="6" name="Purpose"/>
    <x:tableColumn id="7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setScopeTable" displayName="PresetScopeTable" ref="A5:C17" headerRowCount="1" totalsRowCount="0" totalsRowShown="0">
  <x:tableColumns count="3">
    <x:tableColumn id="1" name="State category"/>
    <x:tableColumn id="2" name="Treatment"/>
    <x:tableColumn id="3" name="Rational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PresetOperationsTable" displayName="PresetOperationsTable" ref="A20:D26" headerRowCount="1" totalsRowCount="0" totalsRowShown="0">
  <x:tableColumns count="4">
    <x:tableColumn id="1" name="Operation"/>
    <x:tableColumn id="2" name="Behavior"/>
    <x:tableColumn id="3" name="Status"/>
    <x:tableColumn id="4" name="Candidate control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OpenDecisionsTable" displayName="OpenDecisionsTable" ref="A5:F21" headerRowCount="1" totalsRowCount="0" totalsRowShown="0">
  <x:tableColumns count="6">
    <x:tableColumn id="1" name="Decision ID"/>
    <x:tableColumn id="2" name="Area"/>
    <x:tableColumn id="3" name="Question"/>
    <x:tableColumn id="4" name="Why it matters"/>
    <x:tableColumn id="5" name="Suggested next test"/>
    <x:tableColumn id="6" name="Priority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8b5c49e3f747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9212c9026d4b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ff08820554485d" /><Relationship Type="http://schemas.openxmlformats.org/officeDocument/2006/relationships/table" Target="/xl/tables/table4.xml" Id="R355432e8efa243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cdcfcadf0ae54b19" /></Relationships>
</file>

<file path=xl/worksheets/sheet1.xml><?xml version="1.0" encoding="utf-8"?>
<x:worksheet xmlns:x="http://schemas.openxmlformats.org/spreadsheetml/2006/main">
  <x:sheetPr>
    <x:tabColor rgb="FF3F3C8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" hidden="0" customWidth="1"/>
    <x:col min="2" max="2" width="15" hidden="0" customWidth="1"/>
    <x:col min="3" max="3" width="24" hidden="0" customWidth="1"/>
    <x:col min="4" max="4" width="22" hidden="0" customWidth="1"/>
    <x:col min="5" max="5" width="12" hidden="0" customWidth="1"/>
    <x:col min="6" max="6" width="18" hidden="0" customWidth="1"/>
    <x:col min="7" max="7" width="14" hidden="0" customWidth="1"/>
    <x:col min="8" max="8" width="36" hidden="0" customWidth="1"/>
    <x:col min="9" max="9" width="34" hidden="0" customWidth="1"/>
    <x:col min="10" max="10" width="12" hidden="0" customWidth="1"/>
    <x:col min="11" max="11" width="24" hidden="0" customWidth="1"/>
    <x:col min="12" max="12" width="42" hidden="0" customWidth="1"/>
  </x:cols>
  <x:sheetData>
    <x:row r="1" ht="8" customHeight="1"/>
    <x:row r="2" ht="24" customHeight="1">
      <x:c r="A2" s="2" t="str">
        <x:v>Spooky Box Control Map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4" t="str">
        <x:v>One row per contextual binding. Filter by mode, workspace, layer, control, or status.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5" t="str">
        <x:v>Bindings</x:v>
      </x:c>
      <x:c r="B4" s="5" t="n">
        <x:f>COUNTA(A6:A94)</x:f>
        <x:v>89</x:v>
      </x:c>
      <x:c r="C4" s="5"/>
      <x:c r="D4" s="5" t="str">
        <x:v>Defined</x:v>
      </x:c>
      <x:c r="E4" s="5" t="n">
        <x:f>COUNTIF(J6:J94,"Defined")</x:f>
        <x:v>74</x:v>
      </x:c>
      <x:c r="F4" s="5"/>
      <x:c r="G4" s="5" t="str">
        <x:v>Proposed</x:v>
      </x:c>
      <x:c r="H4" s="5" t="n">
        <x:f>COUNTIF(J6:J94,"Proposed")</x:f>
        <x:v>14</x:v>
      </x:c>
      <x:c r="I4" s="5"/>
      <x:c r="J4" s="5" t="str">
        <x:v>Open</x:v>
      </x:c>
      <x:c r="K4" s="5" t="n">
        <x:f>COUNTIF(J6:J94,"Open")</x:f>
        <x:v>1</x:v>
      </x:c>
    </x:row>
    <x:row r="5" ht="24" customHeight="1">
      <x:c r="A5" s="15" t="str">
        <x:v>Binding ID</x:v>
      </x:c>
      <x:c r="B5" s="15" t="str">
        <x:v>Mode</x:v>
      </x:c>
      <x:c r="C5" s="15" t="str">
        <x:v>Workspace</x:v>
      </x:c>
      <x:c r="D5" s="15" t="str">
        <x:v>State or focus</x:v>
      </x:c>
      <x:c r="E5" s="15" t="str">
        <x:v>Layer</x:v>
      </x:c>
      <x:c r="F5" s="15" t="str">
        <x:v>Control</x:v>
      </x:c>
      <x:c r="G5" s="15" t="str">
        <x:v>Gesture</x:v>
      </x:c>
      <x:c r="H5" s="15" t="str">
        <x:v>Action</x:v>
      </x:c>
      <x:c r="I5" s="15" t="str">
        <x:v>Result or destination</x:v>
      </x:c>
      <x:c r="J5" s="15" t="str">
        <x:v>Status</x:v>
      </x:c>
      <x:c r="K5" s="15" t="str">
        <x:v>Origin</x:v>
      </x:c>
      <x:c r="L5" s="15" t="str">
        <x:v>Notes</x:v>
      </x:c>
    </x:row>
    <x:row r="6" ht="34" customHeight="1">
      <x:c r="A6" s="16" t="str">
        <x:v>C-001</x:v>
      </x:c>
      <x:c r="B6" s="16" t="str">
        <x:v>Global utility</x:v>
      </x:c>
      <x:c r="C6" s="16" t="str">
        <x:v>Menus and submenus</x:v>
      </x:c>
      <x:c r="D6" s="17" t="str">
        <x:v>Browse</x:v>
      </x:c>
      <x:c r="E6" s="17" t="str">
        <x:v>Normal</x:v>
      </x:c>
      <x:c r="F6" s="17" t="str">
        <x:v>Encoder 0</x:v>
      </x:c>
      <x:c r="G6" s="17" t="str">
        <x:v>Turn</x:v>
      </x:c>
      <x:c r="H6" s="17" t="str">
        <x:v>Scroll menu options or selectable values</x:v>
      </x:c>
      <x:c r="I6" s="17" t="str">
        <x:v>Selection moves</x:v>
      </x:c>
      <x:c r="J6" s="17" t="str">
        <x:v>Defined</x:v>
      </x:c>
      <x:c r="K6" s="17" t="str">
        <x:v>User control notes</x:v>
      </x:c>
      <x:c r="L6" s="18" t="str"/>
    </x:row>
    <x:row r="7" ht="34" customHeight="1">
      <x:c r="A7" s="16" t="str">
        <x:v>C-002</x:v>
      </x:c>
      <x:c r="B7" s="16" t="str">
        <x:v>Global utility</x:v>
      </x:c>
      <x:c r="C7" s="16" t="str">
        <x:v>Menus and submenus</x:v>
      </x:c>
      <x:c r="D7" s="17" t="str">
        <x:v>Browse</x:v>
      </x:c>
      <x:c r="E7" s="17" t="str">
        <x:v>Normal</x:v>
      </x:c>
      <x:c r="F7" s="17" t="str">
        <x:v>Encoder 0 button</x:v>
      </x:c>
      <x:c r="G7" s="17" t="str">
        <x:v>Short press</x:v>
      </x:c>
      <x:c r="H7" s="17" t="str">
        <x:v>Select highlighted item</x:v>
      </x:c>
      <x:c r="I7" s="17" t="str">
        <x:v>Open item or enter value edit</x:v>
      </x:c>
      <x:c r="J7" s="17" t="str">
        <x:v>Defined</x:v>
      </x:c>
      <x:c r="K7" s="17" t="str">
        <x:v>User control notes</x:v>
      </x:c>
      <x:c r="L7" s="18" t="str"/>
    </x:row>
    <x:row r="8" ht="34" customHeight="1">
      <x:c r="A8" s="16" t="str">
        <x:v>C-003</x:v>
      </x:c>
      <x:c r="B8" s="16" t="str">
        <x:v>Global utility</x:v>
      </x:c>
      <x:c r="C8" s="16" t="str">
        <x:v>Menus and submenus</x:v>
      </x:c>
      <x:c r="D8" s="17" t="str">
        <x:v>Any</x:v>
      </x:c>
      <x:c r="E8" s="17" t="str">
        <x:v>Normal</x:v>
      </x:c>
      <x:c r="F8" s="17" t="str">
        <x:v>Encoder 1 button</x:v>
      </x:c>
      <x:c r="G8" s="17" t="str">
        <x:v>Press</x:v>
      </x:c>
      <x:c r="H8" s="17" t="str">
        <x:v>Go back one level</x:v>
      </x:c>
      <x:c r="I8" s="17" t="str">
        <x:v>Parent menu or previous state</x:v>
      </x:c>
      <x:c r="J8" s="17" t="str">
        <x:v>Defined</x:v>
      </x:c>
      <x:c r="K8" s="17" t="str">
        <x:v>User control notes</x:v>
      </x:c>
      <x:c r="L8" s="18" t="str"/>
    </x:row>
    <x:row r="9" ht="34" customHeight="1">
      <x:c r="A9" s="16" t="str">
        <x:v>C-004</x:v>
      </x:c>
      <x:c r="B9" s="16" t="str">
        <x:v>Global utility</x:v>
      </x:c>
      <x:c r="C9" s="16" t="str">
        <x:v>Menus and submenus</x:v>
      </x:c>
      <x:c r="D9" s="17" t="str">
        <x:v>Any</x:v>
      </x:c>
      <x:c r="E9" s="17" t="str">
        <x:v>Normal</x:v>
      </x:c>
      <x:c r="F9" s="17" t="str">
        <x:v>Encoder 3 button</x:v>
      </x:c>
      <x:c r="G9" s="17" t="str">
        <x:v>Hold</x:v>
      </x:c>
      <x:c r="H9" s="17" t="str">
        <x:v>Leave utility workspace</x:v>
      </x:c>
      <x:c r="I9" s="17" t="str">
        <x:v>Return to previous operating mode screen</x:v>
      </x:c>
      <x:c r="J9" s="17" t="str">
        <x:v>Defined</x:v>
      </x:c>
      <x:c r="K9" s="17" t="str">
        <x:v>User control notes</x:v>
      </x:c>
      <x:c r="L9" s="18" t="str"/>
    </x:row>
    <x:row r="10" ht="34" customHeight="1">
      <x:c r="A10" s="16" t="str">
        <x:v>C-005</x:v>
      </x:c>
      <x:c r="B10" s="16" t="str">
        <x:v>Field</x:v>
      </x:c>
      <x:c r="C10" s="16" t="str">
        <x:v>Field engine page</x:v>
      </x:c>
      <x:c r="D10" s="17" t="str">
        <x:v>Parameter page</x:v>
      </x:c>
      <x:c r="E10" s="17" t="str">
        <x:v>Normal</x:v>
      </x:c>
      <x:c r="F10" s="17" t="str">
        <x:v>Encoder 3 button</x:v>
      </x:c>
      <x:c r="G10" s="17" t="str">
        <x:v>Short press</x:v>
      </x:c>
      <x:c r="H10" s="17" t="str">
        <x:v>Advance parameter page</x:v>
      </x:c>
      <x:c r="I10" s="17" t="str">
        <x:v>Next page; wrap after final page</x:v>
      </x:c>
      <x:c r="J10" s="17" t="str">
        <x:v>Defined</x:v>
      </x:c>
      <x:c r="K10" s="17" t="str">
        <x:v>Modes and interaction document</x:v>
      </x:c>
      <x:c r="L10" s="18" t="str">
        <x:v>Page color changes with the active page.</x:v>
      </x:c>
    </x:row>
    <x:row r="11" ht="34" customHeight="1">
      <x:c r="A11" s="16" t="str">
        <x:v>C-006</x:v>
      </x:c>
      <x:c r="B11" s="16" t="str">
        <x:v>Field</x:v>
      </x:c>
      <x:c r="C11" s="16" t="str">
        <x:v>Field engine page</x:v>
      </x:c>
      <x:c r="D11" s="17" t="str">
        <x:v>Any</x:v>
      </x:c>
      <x:c r="E11" s="17" t="str">
        <x:v>Normal</x:v>
      </x:c>
      <x:c r="F11" s="17" t="str">
        <x:v>Encoder 3 button</x:v>
      </x:c>
      <x:c r="G11" s="17" t="str">
        <x:v>Hold</x:v>
      </x:c>
      <x:c r="H11" s="17" t="str">
        <x:v>Enter Shift layer while held</x:v>
      </x:c>
      <x:c r="I11" s="17" t="str">
        <x:v>Shift commands become active</x:v>
      </x:c>
      <x:c r="J11" s="17" t="str">
        <x:v>Defined</x:v>
      </x:c>
      <x:c r="K11" s="17" t="str">
        <x:v>Modes and interaction document</x:v>
      </x:c>
      <x:c r="L11" s="18" t="str"/>
    </x:row>
    <x:row r="12" ht="34" customHeight="1">
      <x:c r="A12" s="16" t="str">
        <x:v>C-007</x:v>
      </x:c>
      <x:c r="B12" s="16" t="str">
        <x:v>Field</x:v>
      </x:c>
      <x:c r="C12" s="16" t="str">
        <x:v>Field engine page</x:v>
      </x:c>
      <x:c r="D12" s="17" t="str">
        <x:v>Any</x:v>
      </x:c>
      <x:c r="E12" s="17" t="str">
        <x:v>Shift</x:v>
      </x:c>
      <x:c r="F12" s="17" t="str">
        <x:v>Encoder 1 button</x:v>
      </x:c>
      <x:c r="G12" s="17" t="str">
        <x:v>Press</x:v>
      </x:c>
      <x:c r="H12" s="17" t="str">
        <x:v>Open Settings</x:v>
      </x:c>
      <x:c r="I12" s="17" t="str">
        <x:v>Settings utility workspace</x:v>
      </x:c>
      <x:c r="J12" s="17" t="str">
        <x:v>Proposed</x:v>
      </x:c>
      <x:c r="K12" s="17" t="str">
        <x:v>Modes and interaction document</x:v>
      </x:c>
      <x:c r="L12" s="18" t="str">
        <x:v>Earlier document mapping; user may prefer the global utility root instead.</x:v>
      </x:c>
    </x:row>
    <x:row r="13" ht="34" customHeight="1">
      <x:c r="A13" s="16" t="str">
        <x:v>C-008</x:v>
      </x:c>
      <x:c r="B13" s="16" t="str">
        <x:v>Field</x:v>
      </x:c>
      <x:c r="C13" s="16" t="str">
        <x:v>Field engine page</x:v>
      </x:c>
      <x:c r="D13" s="17" t="str">
        <x:v>Any</x:v>
      </x:c>
      <x:c r="E13" s="17" t="str">
        <x:v>Shift</x:v>
      </x:c>
      <x:c r="F13" s="17" t="str">
        <x:v>Button 0</x:v>
      </x:c>
      <x:c r="G13" s="17" t="str">
        <x:v>Press</x:v>
      </x:c>
      <x:c r="H13" s="17" t="str">
        <x:v>Switch operating mode</x:v>
      </x:c>
      <x:c r="I13" s="17" t="str">
        <x:v>Instrument main engine page</x:v>
      </x:c>
      <x:c r="J13" s="17" t="str">
        <x:v>Defined</x:v>
      </x:c>
      <x:c r="K13" s="17" t="str">
        <x:v>Modes and interaction document</x:v>
      </x:c>
      <x:c r="L13" s="18" t="str"/>
    </x:row>
    <x:row r="14" ht="34" customHeight="1">
      <x:c r="A14" s="16" t="str">
        <x:v>C-009</x:v>
      </x:c>
      <x:c r="B14" s="16" t="str">
        <x:v>Field</x:v>
      </x:c>
      <x:c r="C14" s="16" t="str">
        <x:v>Field engine page</x:v>
      </x:c>
      <x:c r="D14" s="17" t="str">
        <x:v>Any</x:v>
      </x:c>
      <x:c r="E14" s="17" t="str">
        <x:v>Shift</x:v>
      </x:c>
      <x:c r="F14" s="17" t="str">
        <x:v>Button 1</x:v>
      </x:c>
      <x:c r="G14" s="17" t="str">
        <x:v>Press</x:v>
      </x:c>
      <x:c r="H14" s="17" t="str">
        <x:v>Save synchronized rolling buffers</x:v>
      </x:c>
      <x:c r="I14" s="17" t="str">
        <x:v>Standalone Field capture saved</x:v>
      </x:c>
      <x:c r="J14" s="17" t="str">
        <x:v>Defined</x:v>
      </x:c>
      <x:c r="K14" s="17" t="str">
        <x:v>Modes and interaction document</x:v>
      </x:c>
      <x:c r="L14" s="18" t="str"/>
    </x:row>
    <x:row r="15" ht="34" customHeight="1">
      <x:c r="A15" s="16" t="str">
        <x:v>C-010</x:v>
      </x:c>
      <x:c r="B15" s="16" t="str">
        <x:v>Field</x:v>
      </x:c>
      <x:c r="C15" s="16" t="str">
        <x:v>Field engine page</x:v>
      </x:c>
      <x:c r="D15" s="17" t="str">
        <x:v>Any</x:v>
      </x:c>
      <x:c r="E15" s="17" t="str">
        <x:v>Shift</x:v>
      </x:c>
      <x:c r="F15" s="17" t="str">
        <x:v>Buttons 0 and 1</x:v>
      </x:c>
      <x:c r="G15" s="17" t="str">
        <x:v>Chord</x:v>
      </x:c>
      <x:c r="H15" s="17" t="str">
        <x:v>Save buffers, switch modes, and load capture</x:v>
      </x:c>
      <x:c r="I15" s="17" t="str">
        <x:v>Instrument mode with capture as active sample</x:v>
      </x:c>
      <x:c r="J15" s="17" t="str">
        <x:v>Defined</x:v>
      </x:c>
      <x:c r="K15" s="17" t="str">
        <x:v>Modes and interaction document</x:v>
      </x:c>
      <x:c r="L15" s="18" t="str">
        <x:v>Chord resolver must delay component actions until the combination is known.</x:v>
      </x:c>
    </x:row>
    <x:row r="16" ht="34" customHeight="1">
      <x:c r="A16" s="16" t="str">
        <x:v>C-011</x:v>
      </x:c>
      <x:c r="B16" s="16" t="str">
        <x:v>Field</x:v>
      </x:c>
      <x:c r="C16" s="16" t="str">
        <x:v>Field engine page</x:v>
      </x:c>
      <x:c r="D16" s="17" t="str">
        <x:v>Non-manual engine</x:v>
      </x:c>
      <x:c r="E16" s="17" t="str">
        <x:v>Normal</x:v>
      </x:c>
      <x:c r="F16" s="17" t="str">
        <x:v>Encoder 0 button</x:v>
      </x:c>
      <x:c r="G16" s="17" t="str">
        <x:v>Hold</x:v>
      </x:c>
      <x:c r="H16" s="17" t="str">
        <x:v>Quick-jump to Manual</x:v>
      </x:c>
      <x:c r="I16" s="17" t="str">
        <x:v>Manual engine at current tune target</x:v>
      </x:c>
      <x:c r="J16" s="17" t="str">
        <x:v>Defined</x:v>
      </x:c>
      <x:c r="K16" s="17" t="str">
        <x:v>User control notes</x:v>
      </x:c>
      <x:c r="L16" s="18" t="str"/>
    </x:row>
    <x:row r="17" ht="34" customHeight="1">
      <x:c r="A17" s="16" t="str">
        <x:v>C-012</x:v>
      </x:c>
      <x:c r="B17" s="16" t="str">
        <x:v>Field</x:v>
      </x:c>
      <x:c r="C17" s="16" t="str">
        <x:v>Manual engine page</x:v>
      </x:c>
      <x:c r="D17" s="17" t="str">
        <x:v>Manual entered by quick-jump</x:v>
      </x:c>
      <x:c r="E17" s="17" t="str">
        <x:v>Normal</x:v>
      </x:c>
      <x:c r="F17" s="17" t="str">
        <x:v>Encoder 0 button</x:v>
      </x:c>
      <x:c r="G17" s="17" t="str">
        <x:v>Hold</x:v>
      </x:c>
      <x:c r="H17" s="17" t="str">
        <x:v>Return from Manual</x:v>
      </x:c>
      <x:c r="I17" s="17" t="str">
        <x:v>Restore previous Field engine and state</x:v>
      </x:c>
      <x:c r="J17" s="17" t="str">
        <x:v>Defined</x:v>
      </x:c>
      <x:c r="K17" s="17" t="str">
        <x:v>User control notes</x:v>
      </x:c>
      <x:c r="L17" s="18" t="str"/>
    </x:row>
    <x:row r="18" ht="34" customHeight="1">
      <x:c r="A18" s="16" t="str">
        <x:v>C-013</x:v>
      </x:c>
      <x:c r="B18" s="16" t="str">
        <x:v>Field</x:v>
      </x:c>
      <x:c r="C18" s="16" t="str">
        <x:v>Field engine page</x:v>
      </x:c>
      <x:c r="D18" s="17" t="str">
        <x:v>Any</x:v>
      </x:c>
      <x:c r="E18" s="17" t="str">
        <x:v>Normal</x:v>
      </x:c>
      <x:c r="F18" s="17" t="str">
        <x:v>Encoder 2 button</x:v>
      </x:c>
      <x:c r="G18" s="17" t="str">
        <x:v>Hold</x:v>
      </x:c>
      <x:c r="H18" s="17" t="str">
        <x:v>Open scan-engine selector</x:v>
      </x:c>
      <x:c r="I18" s="17" t="str">
        <x:v>Scan-engine popover remains open while held</x:v>
      </x:c>
      <x:c r="J18" s="17" t="str">
        <x:v>Defined</x:v>
      </x:c>
      <x:c r="K18" s="17" t="str">
        <x:v>User control notes</x:v>
      </x:c>
      <x:c r="L18" s="18" t="str"/>
    </x:row>
    <x:row r="19" ht="34" customHeight="1">
      <x:c r="A19" s="16" t="str">
        <x:v>C-014</x:v>
      </x:c>
      <x:c r="B19" s="16" t="str">
        <x:v>Field</x:v>
      </x:c>
      <x:c r="C19" s="16" t="str">
        <x:v>Scan-engine selector</x:v>
      </x:c>
      <x:c r="D19" s="17" t="str">
        <x:v>Popover open</x:v>
      </x:c>
      <x:c r="E19" s="17" t="str">
        <x:v>Popover</x:v>
      </x:c>
      <x:c r="F19" s="17" t="str">
        <x:v>Encoder 0</x:v>
      </x:c>
      <x:c r="G19" s="17" t="str">
        <x:v>Turn</x:v>
      </x:c>
      <x:c r="H19" s="17" t="str">
        <x:v>Scroll scan-engine choices</x:v>
      </x:c>
      <x:c r="I19" s="17" t="str">
        <x:v>Highlighted engine changes</x:v>
      </x:c>
      <x:c r="J19" s="17" t="str">
        <x:v>Defined</x:v>
      </x:c>
      <x:c r="K19" s="17" t="str">
        <x:v>User control notes</x:v>
      </x:c>
      <x:c r="L19" s="18" t="str"/>
    </x:row>
    <x:row r="20" ht="34" customHeight="1">
      <x:c r="A20" s="16" t="str">
        <x:v>C-015</x:v>
      </x:c>
      <x:c r="B20" s="16" t="str">
        <x:v>Field</x:v>
      </x:c>
      <x:c r="C20" s="16" t="str">
        <x:v>Scan-engine selector</x:v>
      </x:c>
      <x:c r="D20" s="17" t="str">
        <x:v>Popover open</x:v>
      </x:c>
      <x:c r="E20" s="17" t="str">
        <x:v>Popover</x:v>
      </x:c>
      <x:c r="F20" s="17" t="str">
        <x:v>Encoder 2 button</x:v>
      </x:c>
      <x:c r="G20" s="17" t="str">
        <x:v>Release</x:v>
      </x:c>
      <x:c r="H20" s="17" t="str">
        <x:v>Commit highlighted engine and close popover</x:v>
      </x:c>
      <x:c r="I20" s="17" t="str">
        <x:v>Selected engine opens; current engine remains if unchanged</x:v>
      </x:c>
      <x:c r="J20" s="17" t="str">
        <x:v>Defined</x:v>
      </x:c>
      <x:c r="K20" s="17" t="str">
        <x:v>User control notes</x:v>
      </x:c>
      <x:c r="L20" s="18" t="str"/>
    </x:row>
    <x:row r="21" ht="34" customHeight="1">
      <x:c r="A21" s="16" t="str">
        <x:v>C-016</x:v>
      </x:c>
      <x:c r="B21" s="16" t="str">
        <x:v>Field</x:v>
      </x:c>
      <x:c r="C21" s="16" t="str">
        <x:v>Field engine page</x:v>
      </x:c>
      <x:c r="D21" s="17" t="str">
        <x:v>Monitoring</x:v>
      </x:c>
      <x:c r="E21" s="17" t="str">
        <x:v>Normal</x:v>
      </x:c>
      <x:c r="F21" s="17" t="str">
        <x:v>Button 1</x:v>
      </x:c>
      <x:c r="G21" s="17" t="str">
        <x:v>Hold</x:v>
      </x:c>
      <x:c r="H21" s="17" t="str">
        <x:v>Mute radio in monitored mix</x:v>
      </x:c>
      <x:c r="I21" s="17" t="str">
        <x:v>Mic remains audible; both raw tracks continue recording</x:v>
      </x:c>
      <x:c r="J21" s="17" t="str">
        <x:v>Defined</x:v>
      </x:c>
      <x:c r="K21" s="17" t="str">
        <x:v>Modes and interaction document</x:v>
      </x:c>
      <x:c r="L21" s="18" t="str">
        <x:v>PTT events are timestamped for playback.</x:v>
      </x:c>
    </x:row>
    <x:row r="22" ht="34" customHeight="1">
      <x:c r="A22" s="16" t="str">
        <x:v>C-017</x:v>
      </x:c>
      <x:c r="B22" s="16" t="str">
        <x:v>Field</x:v>
      </x:c>
      <x:c r="C22" s="16" t="str">
        <x:v>Field engine page</x:v>
      </x:c>
      <x:c r="D22" s="17" t="str">
        <x:v>Monitoring</x:v>
      </x:c>
      <x:c r="E22" s="17" t="str">
        <x:v>Normal</x:v>
      </x:c>
      <x:c r="F22" s="17" t="str">
        <x:v>Button 1</x:v>
      </x:c>
      <x:c r="G22" s="17" t="str">
        <x:v>Release</x:v>
      </x:c>
      <x:c r="H22" s="17" t="str">
        <x:v>Restore radio monitoring</x:v>
      </x:c>
      <x:c r="I22" s="17" t="str">
        <x:v>Normal monitored mix resumes</x:v>
      </x:c>
      <x:c r="J22" s="17" t="str">
        <x:v>Defined</x:v>
      </x:c>
      <x:c r="K22" s="17" t="str">
        <x:v>Modes and interaction document</x:v>
      </x:c>
      <x:c r="L22" s="18" t="str"/>
    </x:row>
    <x:row r="23" ht="34" customHeight="1">
      <x:c r="A23" s="16" t="str">
        <x:v>C-018</x:v>
      </x:c>
      <x:c r="B23" s="16" t="str">
        <x:v>Instrument</x:v>
      </x:c>
      <x:c r="C23" s="16" t="str">
        <x:v>Main engine page</x:v>
      </x:c>
      <x:c r="D23" s="17" t="str">
        <x:v>Any</x:v>
      </x:c>
      <x:c r="E23" s="17" t="str">
        <x:v>Normal</x:v>
      </x:c>
      <x:c r="F23" s="17" t="str">
        <x:v>Encoder 1 button</x:v>
      </x:c>
      <x:c r="G23" s="17" t="str">
        <x:v>Hold</x:v>
      </x:c>
      <x:c r="H23" s="17" t="str">
        <x:v>Open instrument-engine selector</x:v>
      </x:c>
      <x:c r="I23" s="17" t="str">
        <x:v>Instrument-engine popover remains open while held</x:v>
      </x:c>
      <x:c r="J23" s="17" t="str">
        <x:v>Defined</x:v>
      </x:c>
      <x:c r="K23" s="17" t="str">
        <x:v>User control notes</x:v>
      </x:c>
      <x:c r="L23" s="18" t="str"/>
    </x:row>
    <x:row r="24" ht="34" customHeight="1">
      <x:c r="A24" s="16" t="str">
        <x:v>C-019</x:v>
      </x:c>
      <x:c r="B24" s="16" t="str">
        <x:v>Instrument</x:v>
      </x:c>
      <x:c r="C24" s="16" t="str">
        <x:v>Instrument-engine selector</x:v>
      </x:c>
      <x:c r="D24" s="17" t="str">
        <x:v>Popover open</x:v>
      </x:c>
      <x:c r="E24" s="17" t="str">
        <x:v>Popover</x:v>
      </x:c>
      <x:c r="F24" s="17" t="str">
        <x:v>Encoder 0</x:v>
      </x:c>
      <x:c r="G24" s="17" t="str">
        <x:v>Turn</x:v>
      </x:c>
      <x:c r="H24" s="17" t="str">
        <x:v>Scroll instrument-engine choices</x:v>
      </x:c>
      <x:c r="I24" s="17" t="str">
        <x:v>Highlighted engine changes</x:v>
      </x:c>
      <x:c r="J24" s="17" t="str">
        <x:v>Defined</x:v>
      </x:c>
      <x:c r="K24" s="17" t="str">
        <x:v>User control notes</x:v>
      </x:c>
      <x:c r="L24" s="18" t="str"/>
    </x:row>
    <x:row r="25" ht="34" customHeight="1">
      <x:c r="A25" s="16" t="str">
        <x:v>C-020</x:v>
      </x:c>
      <x:c r="B25" s="16" t="str">
        <x:v>Instrument</x:v>
      </x:c>
      <x:c r="C25" s="16" t="str">
        <x:v>Instrument-engine selector</x:v>
      </x:c>
      <x:c r="D25" s="17" t="str">
        <x:v>Popover open</x:v>
      </x:c>
      <x:c r="E25" s="17" t="str">
        <x:v>Popover</x:v>
      </x:c>
      <x:c r="F25" s="17" t="str">
        <x:v>Encoder 1 button</x:v>
      </x:c>
      <x:c r="G25" s="17" t="str">
        <x:v>Release</x:v>
      </x:c>
      <x:c r="H25" s="17" t="str">
        <x:v>Commit highlighted engine and close popover</x:v>
      </x:c>
      <x:c r="I25" s="17" t="str">
        <x:v>Selected engine opens; current engine remains if unchanged</x:v>
      </x:c>
      <x:c r="J25" s="17" t="str">
        <x:v>Defined</x:v>
      </x:c>
      <x:c r="K25" s="17" t="str">
        <x:v>User control notes</x:v>
      </x:c>
      <x:c r="L25" s="18" t="str"/>
    </x:row>
    <x:row r="26" ht="34" customHeight="1">
      <x:c r="A26" s="16" t="str">
        <x:v>C-021</x:v>
      </x:c>
      <x:c r="B26" s="16" t="str">
        <x:v>Instrument</x:v>
      </x:c>
      <x:c r="C26" s="16" t="str">
        <x:v>Main engine page</x:v>
      </x:c>
      <x:c r="D26" s="17" t="str">
        <x:v>Any</x:v>
      </x:c>
      <x:c r="E26" s="17" t="str">
        <x:v>Normal</x:v>
      </x:c>
      <x:c r="F26" s="17" t="str">
        <x:v>Encoder 2 button</x:v>
      </x:c>
      <x:c r="G26" s="17" t="str">
        <x:v>Hold</x:v>
      </x:c>
      <x:c r="H26" s="17" t="str">
        <x:v>Open performance-view selector</x:v>
      </x:c>
      <x:c r="I26" s="17" t="str">
        <x:v>Performance-view popover remains open while held</x:v>
      </x:c>
      <x:c r="J26" s="17" t="str">
        <x:v>Defined</x:v>
      </x:c>
      <x:c r="K26" s="17" t="str">
        <x:v>User control notes</x:v>
      </x:c>
      <x:c r="L26" s="18" t="str"/>
    </x:row>
    <x:row r="27" ht="34" customHeight="1">
      <x:c r="A27" s="16" t="str">
        <x:v>C-022</x:v>
      </x:c>
      <x:c r="B27" s="16" t="str">
        <x:v>Instrument</x:v>
      </x:c>
      <x:c r="C27" s="16" t="str">
        <x:v>Performance-view selector</x:v>
      </x:c>
      <x:c r="D27" s="17" t="str">
        <x:v>Popover open</x:v>
      </x:c>
      <x:c r="E27" s="17" t="str">
        <x:v>Popover</x:v>
      </x:c>
      <x:c r="F27" s="17" t="str">
        <x:v>Encoder 0</x:v>
      </x:c>
      <x:c r="G27" s="17" t="str">
        <x:v>Turn</x:v>
      </x:c>
      <x:c r="H27" s="17" t="str">
        <x:v>Scroll performance-view choices</x:v>
      </x:c>
      <x:c r="I27" s="17" t="str">
        <x:v>Highlighted view changes</x:v>
      </x:c>
      <x:c r="J27" s="17" t="str">
        <x:v>Defined</x:v>
      </x:c>
      <x:c r="K27" s="17" t="str">
        <x:v>User control notes</x:v>
      </x:c>
      <x:c r="L27" s="18" t="str"/>
    </x:row>
    <x:row r="28" ht="34" customHeight="1">
      <x:c r="A28" s="16" t="str">
        <x:v>C-023</x:v>
      </x:c>
      <x:c r="B28" s="16" t="str">
        <x:v>Instrument</x:v>
      </x:c>
      <x:c r="C28" s="16" t="str">
        <x:v>Performance-view selector</x:v>
      </x:c>
      <x:c r="D28" s="17" t="str">
        <x:v>Popover open</x:v>
      </x:c>
      <x:c r="E28" s="17" t="str">
        <x:v>Popover</x:v>
      </x:c>
      <x:c r="F28" s="17" t="str">
        <x:v>Encoder 2 button</x:v>
      </x:c>
      <x:c r="G28" s="17" t="str">
        <x:v>Release</x:v>
      </x:c>
      <x:c r="H28" s="17" t="str">
        <x:v>Commit highlighted view and close popover</x:v>
      </x:c>
      <x:c r="I28" s="17" t="str">
        <x:v>Selected performance view opens</x:v>
      </x:c>
      <x:c r="J28" s="17" t="str">
        <x:v>Defined</x:v>
      </x:c>
      <x:c r="K28" s="17" t="str">
        <x:v>User control notes</x:v>
      </x:c>
      <x:c r="L28" s="18" t="str"/>
    </x:row>
    <x:row r="29" ht="34" customHeight="1">
      <x:c r="A29" s="16" t="str">
        <x:v>C-024</x:v>
      </x:c>
      <x:c r="B29" s="16" t="str">
        <x:v>Instrument</x:v>
      </x:c>
      <x:c r="C29" s="16" t="str">
        <x:v>Main engine page</x:v>
      </x:c>
      <x:c r="D29" s="17" t="str">
        <x:v>Parameter page</x:v>
      </x:c>
      <x:c r="E29" s="17" t="str">
        <x:v>Normal</x:v>
      </x:c>
      <x:c r="F29" s="17" t="str">
        <x:v>Encoder 3 button</x:v>
      </x:c>
      <x:c r="G29" s="17" t="str">
        <x:v>Short press</x:v>
      </x:c>
      <x:c r="H29" s="17" t="str">
        <x:v>Advance parameter page</x:v>
      </x:c>
      <x:c r="I29" s="17" t="str">
        <x:v>Next page; wrap after final page</x:v>
      </x:c>
      <x:c r="J29" s="17" t="str">
        <x:v>Defined</x:v>
      </x:c>
      <x:c r="K29" s="17" t="str">
        <x:v>User control notes</x:v>
      </x:c>
      <x:c r="L29" s="18" t="str">
        <x:v>Early pages are engine-specific; later pages may expose macros, modulation, and sequencer controls.</x:v>
      </x:c>
    </x:row>
    <x:row r="30" ht="34" customHeight="1">
      <x:c r="A30" s="16" t="str">
        <x:v>C-025</x:v>
      </x:c>
      <x:c r="B30" s="16" t="str">
        <x:v>Instrument</x:v>
      </x:c>
      <x:c r="C30" s="16" t="str">
        <x:v>Main engine page</x:v>
      </x:c>
      <x:c r="D30" s="17" t="str">
        <x:v>Parameter page</x:v>
      </x:c>
      <x:c r="E30" s="17" t="str">
        <x:v>Normal</x:v>
      </x:c>
      <x:c r="F30" s="17" t="str">
        <x:v>Encoders 0 to 3</x:v>
      </x:c>
      <x:c r="G30" s="17" t="str">
        <x:v>Turn</x:v>
      </x:c>
      <x:c r="H30" s="17" t="str">
        <x:v>Adjust parameter assigned on active page</x:v>
      </x:c>
      <x:c r="I30" s="17" t="str">
        <x:v>Parameter value changes</x:v>
      </x:c>
      <x:c r="J30" s="17" t="str">
        <x:v>Proposed</x:v>
      </x:c>
      <x:c r="K30" s="17" t="str">
        <x:v>Workbook proposal</x:v>
      </x:c>
      <x:c r="L30" s="18" t="str">
        <x:v>Exact per-engine assignments remain to be designed.</x:v>
      </x:c>
    </x:row>
    <x:row r="31" ht="34" customHeight="1">
      <x:c r="A31" s="16" t="str">
        <x:v>C-026</x:v>
      </x:c>
      <x:c r="B31" s="16" t="str">
        <x:v>Instrument</x:v>
      </x:c>
      <x:c r="C31" s="16" t="str">
        <x:v>Main engine page</x:v>
      </x:c>
      <x:c r="D31" s="17" t="str">
        <x:v>Any</x:v>
      </x:c>
      <x:c r="E31" s="17" t="str">
        <x:v>Normal</x:v>
      </x:c>
      <x:c r="F31" s="17" t="str">
        <x:v>Encoder 3 button</x:v>
      </x:c>
      <x:c r="G31" s="17" t="str">
        <x:v>Hold</x:v>
      </x:c>
      <x:c r="H31" s="17" t="str">
        <x:v>Enter Shift layer while held</x:v>
      </x:c>
      <x:c r="I31" s="17" t="str">
        <x:v>Instrument Shift commands become active</x:v>
      </x:c>
      <x:c r="J31" s="17" t="str">
        <x:v>Defined</x:v>
      </x:c>
      <x:c r="K31" s="17" t="str">
        <x:v>User control notes</x:v>
      </x:c>
      <x:c r="L31" s="18" t="str"/>
    </x:row>
    <x:row r="32" ht="34" customHeight="1">
      <x:c r="A32" s="16" t="str">
        <x:v>C-027</x:v>
      </x:c>
      <x:c r="B32" s="16" t="str">
        <x:v>Instrument</x:v>
      </x:c>
      <x:c r="C32" s="16" t="str">
        <x:v>Main engine page</x:v>
      </x:c>
      <x:c r="D32" s="17" t="str">
        <x:v>Any</x:v>
      </x:c>
      <x:c r="E32" s="17" t="str">
        <x:v>Shift</x:v>
      </x:c>
      <x:c r="F32" s="17" t="str">
        <x:v>Encoder 0 button</x:v>
      </x:c>
      <x:c r="G32" s="17" t="str">
        <x:v>Press</x:v>
      </x:c>
      <x:c r="H32" s="17" t="str">
        <x:v>Open global utility root</x:v>
      </x:c>
      <x:c r="I32" s="17" t="str">
        <x:v>Global utility menu</x:v>
      </x:c>
      <x:c r="J32" s="17" t="str">
        <x:v>Defined</x:v>
      </x:c>
      <x:c r="K32" s="17" t="str">
        <x:v>User control notes</x:v>
      </x:c>
      <x:c r="L32" s="18" t="str"/>
    </x:row>
    <x:row r="33" ht="34" customHeight="1">
      <x:c r="A33" s="16" t="str">
        <x:v>C-028</x:v>
      </x:c>
      <x:c r="B33" s="16" t="str">
        <x:v>Instrument</x:v>
      </x:c>
      <x:c r="C33" s="16" t="str">
        <x:v>Main engine page</x:v>
      </x:c>
      <x:c r="D33" s="17" t="str">
        <x:v>Any</x:v>
      </x:c>
      <x:c r="E33" s="17" t="str">
        <x:v>Shift</x:v>
      </x:c>
      <x:c r="F33" s="17" t="str">
        <x:v>Button 0</x:v>
      </x:c>
      <x:c r="G33" s="17" t="str">
        <x:v>Press</x:v>
      </x:c>
      <x:c r="H33" s="17" t="str">
        <x:v>Switch operating mode</x:v>
      </x:c>
      <x:c r="I33" s="17" t="str">
        <x:v>Return to Field mode</x:v>
      </x:c>
      <x:c r="J33" s="17" t="str">
        <x:v>Defined</x:v>
      </x:c>
      <x:c r="K33" s="17" t="str">
        <x:v>User control notes</x:v>
      </x:c>
      <x:c r="L33" s="18" t="str"/>
    </x:row>
    <x:row r="34" ht="34" customHeight="1">
      <x:c r="A34" s="16" t="str">
        <x:v>C-029</x:v>
      </x:c>
      <x:c r="B34" s="16" t="str">
        <x:v>Instrument</x:v>
      </x:c>
      <x:c r="C34" s="16" t="str">
        <x:v>Main engine page</x:v>
      </x:c>
      <x:c r="D34" s="17" t="str">
        <x:v>Performance</x:v>
      </x:c>
      <x:c r="E34" s="17" t="str">
        <x:v>Normal</x:v>
      </x:c>
      <x:c r="F34" s="17" t="str">
        <x:v>Button 1</x:v>
      </x:c>
      <x:c r="G34" s="17" t="str">
        <x:v>Hold</x:v>
      </x:c>
      <x:c r="H34" s="17" t="str">
        <x:v>Capture or inject microphone material</x:v>
      </x:c>
      <x:c r="I34" s="17" t="str">
        <x:v>Active engine receives mic material</x:v>
      </x:c>
      <x:c r="J34" s="17" t="str">
        <x:v>Proposed</x:v>
      </x:c>
      <x:c r="K34" s="17" t="str">
        <x:v>Modes and interaction document</x:v>
      </x:c>
      <x:c r="L34" s="18" t="str">
        <x:v>Capture length, quantization, and latch behavior depend on the engine.</x:v>
      </x:c>
    </x:row>
    <x:row r="35" ht="34" customHeight="1">
      <x:c r="A35" s="16" t="str">
        <x:v>C-030</x:v>
      </x:c>
      <x:c r="B35" s="16" t="str">
        <x:v>Instrument</x:v>
      </x:c>
      <x:c r="C35" s="16" t="str">
        <x:v>Main engine page</x:v>
      </x:c>
      <x:c r="D35" s="17" t="str">
        <x:v>Performance</x:v>
      </x:c>
      <x:c r="E35" s="17" t="str">
        <x:v>Normal</x:v>
      </x:c>
      <x:c r="F35" s="17" t="str">
        <x:v>Button 1</x:v>
      </x:c>
      <x:c r="G35" s="17" t="str">
        <x:v>Release</x:v>
      </x:c>
      <x:c r="H35" s="17" t="str">
        <x:v>End momentary microphone capture or injection</x:v>
      </x:c>
      <x:c r="I35" s="17" t="str">
        <x:v>Engine-specific capture completes</x:v>
      </x:c>
      <x:c r="J35" s="17" t="str">
        <x:v>Proposed</x:v>
      </x:c>
      <x:c r="K35" s="17" t="str">
        <x:v>Workbook proposal</x:v>
      </x:c>
      <x:c r="L35" s="18" t="str"/>
    </x:row>
    <x:row r="36" ht="34" customHeight="1">
      <x:c r="A36" s="16" t="str">
        <x:v>C-031</x:v>
      </x:c>
      <x:c r="B36" s="16" t="str">
        <x:v>Instrument</x:v>
      </x:c>
      <x:c r="C36" s="16" t="str">
        <x:v>Main engine page</x:v>
      </x:c>
      <x:c r="D36" s="17" t="str">
        <x:v>Performance</x:v>
      </x:c>
      <x:c r="E36" s="17" t="str">
        <x:v>Normal</x:v>
      </x:c>
      <x:c r="F36" s="17" t="str">
        <x:v>Button 0</x:v>
      </x:c>
      <x:c r="G36" s="17" t="str">
        <x:v>Press</x:v>
      </x:c>
      <x:c r="H36" s="17" t="str">
        <x:v>Change injected-sample mix policy</x:v>
      </x:c>
      <x:c r="I36" s="17" t="str">
        <x:v>Layered, ducked, or exclusive playback policy</x:v>
      </x:c>
      <x:c r="J36" s="17" t="str">
        <x:v>Open</x:v>
      </x:c>
      <x:c r="K36" s="17" t="str">
        <x:v>Modes and interaction document</x:v>
      </x:c>
      <x:c r="L36" s="18" t="str">
        <x:v>Exact cycle, indication, and persistence remain undecided.</x:v>
      </x:c>
    </x:row>
    <x:row r="37" ht="34" customHeight="1">
      <x:c r="A37" s="16" t="str">
        <x:v>C-032</x:v>
      </x:c>
      <x:c r="B37" s="16" t="str">
        <x:v>Instrument</x:v>
      </x:c>
      <x:c r="C37" s="16" t="str">
        <x:v>FX chain</x:v>
      </x:c>
      <x:c r="D37" s="17" t="str">
        <x:v>Effect list</x:v>
      </x:c>
      <x:c r="E37" s="17" t="str">
        <x:v>Normal</x:v>
      </x:c>
      <x:c r="F37" s="17" t="str">
        <x:v>Encoder 0</x:v>
      </x:c>
      <x:c r="G37" s="17" t="str">
        <x:v>Turn</x:v>
      </x:c>
      <x:c r="H37" s="17" t="str">
        <x:v>Scroll effect selection</x:v>
      </x:c>
      <x:c r="I37" s="17" t="str">
        <x:v>Highlighted effect changes</x:v>
      </x:c>
      <x:c r="J37" s="17" t="str">
        <x:v>Defined</x:v>
      </x:c>
      <x:c r="K37" s="17" t="str">
        <x:v>User control notes</x:v>
      </x:c>
      <x:c r="L37" s="18" t="str"/>
    </x:row>
    <x:row r="38" ht="34" customHeight="1">
      <x:c r="A38" s="16" t="str">
        <x:v>C-033</x:v>
      </x:c>
      <x:c r="B38" s="16" t="str">
        <x:v>Instrument</x:v>
      </x:c>
      <x:c r="C38" s="16" t="str">
        <x:v>FX chain</x:v>
      </x:c>
      <x:c r="D38" s="17" t="str">
        <x:v>Effect list</x:v>
      </x:c>
      <x:c r="E38" s="17" t="str">
        <x:v>Normal</x:v>
      </x:c>
      <x:c r="F38" s="17" t="str">
        <x:v>Encoder 1</x:v>
      </x:c>
      <x:c r="G38" s="17" t="str">
        <x:v>Turn</x:v>
      </x:c>
      <x:c r="H38" s="17" t="str">
        <x:v>Adjust selected effect top-level parameter 1</x:v>
      </x:c>
      <x:c r="I38" s="17" t="str">
        <x:v>Displayed value changes</x:v>
      </x:c>
      <x:c r="J38" s="17" t="str">
        <x:v>Defined</x:v>
      </x:c>
      <x:c r="K38" s="17" t="str">
        <x:v>User control notes</x:v>
      </x:c>
      <x:c r="L38" s="18" t="str"/>
    </x:row>
    <x:row r="39" ht="34" customHeight="1">
      <x:c r="A39" s="16" t="str">
        <x:v>C-034</x:v>
      </x:c>
      <x:c r="B39" s="16" t="str">
        <x:v>Instrument</x:v>
      </x:c>
      <x:c r="C39" s="16" t="str">
        <x:v>FX chain</x:v>
      </x:c>
      <x:c r="D39" s="17" t="str">
        <x:v>Effect list</x:v>
      </x:c>
      <x:c r="E39" s="17" t="str">
        <x:v>Normal</x:v>
      </x:c>
      <x:c r="F39" s="17" t="str">
        <x:v>Encoder 2</x:v>
      </x:c>
      <x:c r="G39" s="17" t="str">
        <x:v>Turn</x:v>
      </x:c>
      <x:c r="H39" s="17" t="str">
        <x:v>Adjust selected effect top-level parameter 2</x:v>
      </x:c>
      <x:c r="I39" s="17" t="str">
        <x:v>Displayed value changes</x:v>
      </x:c>
      <x:c r="J39" s="17" t="str">
        <x:v>Defined</x:v>
      </x:c>
      <x:c r="K39" s="17" t="str">
        <x:v>User control notes</x:v>
      </x:c>
      <x:c r="L39" s="18" t="str"/>
    </x:row>
    <x:row r="40" ht="34" customHeight="1">
      <x:c r="A40" s="16" t="str">
        <x:v>C-035</x:v>
      </x:c>
      <x:c r="B40" s="16" t="str">
        <x:v>Instrument</x:v>
      </x:c>
      <x:c r="C40" s="16" t="str">
        <x:v>FX chain</x:v>
      </x:c>
      <x:c r="D40" s="17" t="str">
        <x:v>Effect list</x:v>
      </x:c>
      <x:c r="E40" s="17" t="str">
        <x:v>Normal</x:v>
      </x:c>
      <x:c r="F40" s="17" t="str">
        <x:v>Encoder 3</x:v>
      </x:c>
      <x:c r="G40" s="17" t="str">
        <x:v>Turn</x:v>
      </x:c>
      <x:c r="H40" s="17" t="str">
        <x:v>Adjust selected effect top-level parameter 3</x:v>
      </x:c>
      <x:c r="I40" s="17" t="str">
        <x:v>Displayed value changes</x:v>
      </x:c>
      <x:c r="J40" s="17" t="str">
        <x:v>Defined</x:v>
      </x:c>
      <x:c r="K40" s="17" t="str">
        <x:v>User control notes</x:v>
      </x:c>
      <x:c r="L40" s="18" t="str"/>
    </x:row>
    <x:row r="41" ht="34" customHeight="1">
      <x:c r="A41" s="16" t="str">
        <x:v>C-036</x:v>
      </x:c>
      <x:c r="B41" s="16" t="str">
        <x:v>Instrument</x:v>
      </x:c>
      <x:c r="C41" s="16" t="str">
        <x:v>FX chain</x:v>
      </x:c>
      <x:c r="D41" s="17" t="str">
        <x:v>Effect list</x:v>
      </x:c>
      <x:c r="E41" s="17" t="str">
        <x:v>Normal</x:v>
      </x:c>
      <x:c r="F41" s="17" t="str">
        <x:v>Encoder 0 button</x:v>
      </x:c>
      <x:c r="G41" s="17" t="str">
        <x:v>Short press</x:v>
      </x:c>
      <x:c r="H41" s="17" t="str">
        <x:v>Open selected effect settings</x:v>
      </x:c>
      <x:c r="I41" s="17" t="str">
        <x:v>Effect settings page</x:v>
      </x:c>
      <x:c r="J41" s="17" t="str">
        <x:v>Defined</x:v>
      </x:c>
      <x:c r="K41" s="17" t="str">
        <x:v>User control notes</x:v>
      </x:c>
      <x:c r="L41" s="18" t="str"/>
    </x:row>
    <x:row r="42" ht="34" customHeight="1">
      <x:c r="A42" s="16" t="str">
        <x:v>C-037</x:v>
      </x:c>
      <x:c r="B42" s="16" t="str">
        <x:v>Instrument</x:v>
      </x:c>
      <x:c r="C42" s="16" t="str">
        <x:v>FX chain</x:v>
      </x:c>
      <x:c r="D42" s="17" t="str">
        <x:v>Effect list</x:v>
      </x:c>
      <x:c r="E42" s="17" t="str">
        <x:v>Normal</x:v>
      </x:c>
      <x:c r="F42" s="17" t="str">
        <x:v>Encoder 0 button</x:v>
      </x:c>
      <x:c r="G42" s="17" t="str">
        <x:v>Hold</x:v>
      </x:c>
      <x:c r="H42" s="17" t="str">
        <x:v>Enter chain-ordering state</x:v>
      </x:c>
      <x:c r="I42" s="17" t="str">
        <x:v>Selected effect becomes movable</x:v>
      </x:c>
      <x:c r="J42" s="17" t="str">
        <x:v>Defined</x:v>
      </x:c>
      <x:c r="K42" s="17" t="str">
        <x:v>User control notes</x:v>
      </x:c>
      <x:c r="L42" s="18" t="str"/>
    </x:row>
    <x:row r="43" ht="34" customHeight="1">
      <x:c r="A43" s="16" t="str">
        <x:v>C-038</x:v>
      </x:c>
      <x:c r="B43" s="16" t="str">
        <x:v>Instrument</x:v>
      </x:c>
      <x:c r="C43" s="16" t="str">
        <x:v>FX chain</x:v>
      </x:c>
      <x:c r="D43" s="17" t="str">
        <x:v>Ordering</x:v>
      </x:c>
      <x:c r="E43" s="17" t="str">
        <x:v>Edit</x:v>
      </x:c>
      <x:c r="F43" s="17" t="str">
        <x:v>Encoder 0</x:v>
      </x:c>
      <x:c r="G43" s="17" t="str">
        <x:v>Turn</x:v>
      </x:c>
      <x:c r="H43" s="17" t="str">
        <x:v>Move selected effect in chain</x:v>
      </x:c>
      <x:c r="I43" s="17" t="str">
        <x:v>Effect position changes</x:v>
      </x:c>
      <x:c r="J43" s="17" t="str">
        <x:v>Defined</x:v>
      </x:c>
      <x:c r="K43" s="17" t="str">
        <x:v>User control notes</x:v>
      </x:c>
      <x:c r="L43" s="18" t="str"/>
    </x:row>
    <x:row r="44" ht="34" customHeight="1">
      <x:c r="A44" s="16" t="str">
        <x:v>C-039</x:v>
      </x:c>
      <x:c r="B44" s="16" t="str">
        <x:v>Instrument</x:v>
      </x:c>
      <x:c r="C44" s="16" t="str">
        <x:v>FX chain</x:v>
      </x:c>
      <x:c r="D44" s="17" t="str">
        <x:v>Ordering</x:v>
      </x:c>
      <x:c r="E44" s="17" t="str">
        <x:v>Edit</x:v>
      </x:c>
      <x:c r="F44" s="17" t="str">
        <x:v>Encoder 0 button</x:v>
      </x:c>
      <x:c r="G44" s="17" t="str">
        <x:v>Press</x:v>
      </x:c>
      <x:c r="H44" s="17" t="str">
        <x:v>Save order</x:v>
      </x:c>
      <x:c r="I44" s="17" t="str">
        <x:v>Return to effect list</x:v>
      </x:c>
      <x:c r="J44" s="17" t="str">
        <x:v>Defined</x:v>
      </x:c>
      <x:c r="K44" s="17" t="str">
        <x:v>User control notes</x:v>
      </x:c>
      <x:c r="L44" s="18" t="str"/>
    </x:row>
    <x:row r="45" ht="34" customHeight="1">
      <x:c r="A45" s="16" t="str">
        <x:v>C-040</x:v>
      </x:c>
      <x:c r="B45" s="16" t="str">
        <x:v>Instrument</x:v>
      </x:c>
      <x:c r="C45" s="16" t="str">
        <x:v>FX chain</x:v>
      </x:c>
      <x:c r="D45" s="17" t="str">
        <x:v>Effect list</x:v>
      </x:c>
      <x:c r="E45" s="17" t="str">
        <x:v>Normal</x:v>
      </x:c>
      <x:c r="F45" s="17" t="str">
        <x:v>Encoder 1 button</x:v>
      </x:c>
      <x:c r="G45" s="17" t="str">
        <x:v>Press</x:v>
      </x:c>
      <x:c r="H45" s="17" t="str">
        <x:v>Toggle selected effect</x:v>
      </x:c>
      <x:c r="I45" s="17" t="str">
        <x:v>Effect becomes active or bypassed</x:v>
      </x:c>
      <x:c r="J45" s="17" t="str">
        <x:v>Defined</x:v>
      </x:c>
      <x:c r="K45" s="17" t="str">
        <x:v>User control notes</x:v>
      </x:c>
      <x:c r="L45" s="18" t="str"/>
    </x:row>
    <x:row r="46" ht="34" customHeight="1">
      <x:c r="A46" s="16" t="str">
        <x:v>C-041</x:v>
      </x:c>
      <x:c r="B46" s="16" t="str">
        <x:v>Instrument</x:v>
      </x:c>
      <x:c r="C46" s="16" t="str">
        <x:v>FX chain</x:v>
      </x:c>
      <x:c r="D46" s="17" t="str">
        <x:v>Effect list</x:v>
      </x:c>
      <x:c r="E46" s="17" t="str">
        <x:v>Normal</x:v>
      </x:c>
      <x:c r="F46" s="17" t="str">
        <x:v>Encoder 3 button</x:v>
      </x:c>
      <x:c r="G46" s="17" t="str">
        <x:v>Short press</x:v>
      </x:c>
      <x:c r="H46" s="17" t="str">
        <x:v>Return to performance-view selection</x:v>
      </x:c>
      <x:c r="I46" s="17" t="str">
        <x:v>Performance-view selector</x:v>
      </x:c>
      <x:c r="J46" s="17" t="str">
        <x:v>Defined</x:v>
      </x:c>
      <x:c r="K46" s="17" t="str">
        <x:v>User control notes</x:v>
      </x:c>
      <x:c r="L46" s="18" t="str">
        <x:v>Clarify whether this opens the popover or a persistent menu.</x:v>
      </x:c>
    </x:row>
    <x:row r="47" ht="34" customHeight="1">
      <x:c r="A47" s="16" t="str">
        <x:v>C-042</x:v>
      </x:c>
      <x:c r="B47" s="16" t="str">
        <x:v>Instrument</x:v>
      </x:c>
      <x:c r="C47" s="16" t="str">
        <x:v>FX chain</x:v>
      </x:c>
      <x:c r="D47" s="17" t="str">
        <x:v>Any</x:v>
      </x:c>
      <x:c r="E47" s="17" t="str">
        <x:v>Normal</x:v>
      </x:c>
      <x:c r="F47" s="17" t="str">
        <x:v>Encoder 3 button</x:v>
      </x:c>
      <x:c r="G47" s="17" t="str">
        <x:v>Hold</x:v>
      </x:c>
      <x:c r="H47" s="17" t="str">
        <x:v>Return to instrument engine</x:v>
      </x:c>
      <x:c r="I47" s="17" t="str">
        <x:v>Main engine page</x:v>
      </x:c>
      <x:c r="J47" s="17" t="str">
        <x:v>Defined</x:v>
      </x:c>
      <x:c r="K47" s="17" t="str">
        <x:v>User control notes</x:v>
      </x:c>
      <x:c r="L47" s="18" t="str"/>
    </x:row>
    <x:row r="48" ht="34" customHeight="1">
      <x:c r="A48" s="16" t="str">
        <x:v>C-043</x:v>
      </x:c>
      <x:c r="B48" s="16" t="str">
        <x:v>Instrument</x:v>
      </x:c>
      <x:c r="C48" s="16" t="str">
        <x:v>Effect settings</x:v>
      </x:c>
      <x:c r="D48" s="17" t="str">
        <x:v>Parameter page</x:v>
      </x:c>
      <x:c r="E48" s="17" t="str">
        <x:v>Normal</x:v>
      </x:c>
      <x:c r="F48" s="17" t="str">
        <x:v>Encoders 0 to 3</x:v>
      </x:c>
      <x:c r="G48" s="17" t="str">
        <x:v>Turn</x:v>
      </x:c>
      <x:c r="H48" s="17" t="str">
        <x:v>Adjust assigned effect parameter</x:v>
      </x:c>
      <x:c r="I48" s="17" t="str">
        <x:v>Parameter value changes</x:v>
      </x:c>
      <x:c r="J48" s="17" t="str">
        <x:v>Proposed</x:v>
      </x:c>
      <x:c r="K48" s="17" t="str">
        <x:v>Workbook proposal</x:v>
      </x:c>
      <x:c r="L48" s="18" t="str"/>
    </x:row>
    <x:row r="49" ht="34" customHeight="1">
      <x:c r="A49" s="16" t="str">
        <x:v>C-044</x:v>
      </x:c>
      <x:c r="B49" s="16" t="str">
        <x:v>Instrument</x:v>
      </x:c>
      <x:c r="C49" s="16" t="str">
        <x:v>Effect settings</x:v>
      </x:c>
      <x:c r="D49" s="17" t="str">
        <x:v>Parameter page</x:v>
      </x:c>
      <x:c r="E49" s="17" t="str">
        <x:v>Normal</x:v>
      </x:c>
      <x:c r="F49" s="17" t="str">
        <x:v>Encoder 3 button</x:v>
      </x:c>
      <x:c r="G49" s="17" t="str">
        <x:v>Short press</x:v>
      </x:c>
      <x:c r="H49" s="17" t="str">
        <x:v>Advance effect parameter page</x:v>
      </x:c>
      <x:c r="I49" s="17" t="str">
        <x:v>Next page; wrap after final page</x:v>
      </x:c>
      <x:c r="J49" s="17" t="str">
        <x:v>Defined</x:v>
      </x:c>
      <x:c r="K49" s="17" t="str">
        <x:v>User control notes</x:v>
      </x:c>
      <x:c r="L49" s="18" t="str"/>
    </x:row>
    <x:row r="50" ht="34" customHeight="1">
      <x:c r="A50" s="16" t="str">
        <x:v>C-045</x:v>
      </x:c>
      <x:c r="B50" s="16" t="str">
        <x:v>Instrument</x:v>
      </x:c>
      <x:c r="C50" s="16" t="str">
        <x:v>Effect settings</x:v>
      </x:c>
      <x:c r="D50" s="17" t="str">
        <x:v>Any</x:v>
      </x:c>
      <x:c r="E50" s="17" t="str">
        <x:v>Normal</x:v>
      </x:c>
      <x:c r="F50" s="17" t="str">
        <x:v>Encoder 3 button</x:v>
      </x:c>
      <x:c r="G50" s="17" t="str">
        <x:v>Hold</x:v>
      </x:c>
      <x:c r="H50" s="17" t="str">
        <x:v>Return to FX chain</x:v>
      </x:c>
      <x:c r="I50" s="17" t="str">
        <x:v>FX effect list with same effect selected</x:v>
      </x:c>
      <x:c r="J50" s="17" t="str">
        <x:v>Defined</x:v>
      </x:c>
      <x:c r="K50" s="17" t="str">
        <x:v>User control notes</x:v>
      </x:c>
      <x:c r="L50" s="18" t="str"/>
    </x:row>
    <x:row r="51" ht="34" customHeight="1">
      <x:c r="A51" s="16" t="str">
        <x:v>C-046</x:v>
      </x:c>
      <x:c r="B51" s="16" t="str">
        <x:v>Instrument</x:v>
      </x:c>
      <x:c r="C51" s="16" t="str">
        <x:v>Modulation matrix</x:v>
      </x:c>
      <x:c r="D51" s="17" t="str">
        <x:v>Source browse</x:v>
      </x:c>
      <x:c r="E51" s="17" t="str">
        <x:v>Normal</x:v>
      </x:c>
      <x:c r="F51" s="17" t="str">
        <x:v>Encoder 0</x:v>
      </x:c>
      <x:c r="G51" s="17" t="str">
        <x:v>Turn</x:v>
      </x:c>
      <x:c r="H51" s="17" t="str">
        <x:v>Scroll modulation-source rows</x:v>
      </x:c>
      <x:c r="I51" s="17" t="str">
        <x:v>Selected source changes</x:v>
      </x:c>
      <x:c r="J51" s="17" t="str">
        <x:v>Defined</x:v>
      </x:c>
      <x:c r="K51" s="17" t="str">
        <x:v>User control notes</x:v>
      </x:c>
      <x:c r="L51" s="18" t="str"/>
    </x:row>
    <x:row r="52" ht="34" customHeight="1">
      <x:c r="A52" s="16" t="str">
        <x:v>C-047</x:v>
      </x:c>
      <x:c r="B52" s="16" t="str">
        <x:v>Instrument</x:v>
      </x:c>
      <x:c r="C52" s="16" t="str">
        <x:v>Modulation matrix</x:v>
      </x:c>
      <x:c r="D52" s="17" t="str">
        <x:v>Source browse</x:v>
      </x:c>
      <x:c r="E52" s="17" t="str">
        <x:v>Normal</x:v>
      </x:c>
      <x:c r="F52" s="17" t="str">
        <x:v>Encoder 0 button</x:v>
      </x:c>
      <x:c r="G52" s="17" t="str">
        <x:v>Short press</x:v>
      </x:c>
      <x:c r="H52" s="17" t="str">
        <x:v>Select current modulation source</x:v>
      </x:c>
      <x:c r="I52" s="17" t="str">
        <x:v>First target cell in row is highlighted</x:v>
      </x:c>
      <x:c r="J52" s="17" t="str">
        <x:v>Defined</x:v>
      </x:c>
      <x:c r="K52" s="17" t="str">
        <x:v>User control notes</x:v>
      </x:c>
      <x:c r="L52" s="18" t="str"/>
    </x:row>
    <x:row r="53" ht="34" customHeight="1">
      <x:c r="A53" s="16" t="str">
        <x:v>C-048</x:v>
      </x:c>
      <x:c r="B53" s="16" t="str">
        <x:v>Instrument</x:v>
      </x:c>
      <x:c r="C53" s="16" t="str">
        <x:v>Modulation matrix</x:v>
      </x:c>
      <x:c r="D53" s="17" t="str">
        <x:v>Target browse</x:v>
      </x:c>
      <x:c r="E53" s="17" t="str">
        <x:v>Edit</x:v>
      </x:c>
      <x:c r="F53" s="17" t="str">
        <x:v>Encoder 0</x:v>
      </x:c>
      <x:c r="G53" s="17" t="str">
        <x:v>Turn</x:v>
      </x:c>
      <x:c r="H53" s="17" t="str">
        <x:v>Scroll target columns</x:v>
      </x:c>
      <x:c r="I53" s="17" t="str">
        <x:v>Highlighted routing cell changes</x:v>
      </x:c>
      <x:c r="J53" s="17" t="str">
        <x:v>Defined</x:v>
      </x:c>
      <x:c r="K53" s="17" t="str">
        <x:v>User control notes</x:v>
      </x:c>
      <x:c r="L53" s="18" t="str"/>
    </x:row>
    <x:row r="54" ht="34" customHeight="1">
      <x:c r="A54" s="16" t="str">
        <x:v>C-049</x:v>
      </x:c>
      <x:c r="B54" s="16" t="str">
        <x:v>Instrument</x:v>
      </x:c>
      <x:c r="C54" s="16" t="str">
        <x:v>Modulation matrix</x:v>
      </x:c>
      <x:c r="D54" s="17" t="str">
        <x:v>Target browse</x:v>
      </x:c>
      <x:c r="E54" s="17" t="str">
        <x:v>Edit</x:v>
      </x:c>
      <x:c r="F54" s="17" t="str">
        <x:v>Encoder 0 button</x:v>
      </x:c>
      <x:c r="G54" s="17" t="str">
        <x:v>Press</x:v>
      </x:c>
      <x:c r="H54" s="17" t="str">
        <x:v>Select routing cell</x:v>
      </x:c>
      <x:c r="I54" s="17" t="str">
        <x:v>Enter modulation-amount edit</x:v>
      </x:c>
      <x:c r="J54" s="17" t="str">
        <x:v>Defined</x:v>
      </x:c>
      <x:c r="K54" s="17" t="str">
        <x:v>User control notes</x:v>
      </x:c>
      <x:c r="L54" s="18" t="str"/>
    </x:row>
    <x:row r="55" ht="34" customHeight="1">
      <x:c r="A55" s="16" t="str">
        <x:v>C-050</x:v>
      </x:c>
      <x:c r="B55" s="16" t="str">
        <x:v>Instrument</x:v>
      </x:c>
      <x:c r="C55" s="16" t="str">
        <x:v>Modulation matrix</x:v>
      </x:c>
      <x:c r="D55" s="17" t="str">
        <x:v>Amount edit</x:v>
      </x:c>
      <x:c r="E55" s="17" t="str">
        <x:v>Edit</x:v>
      </x:c>
      <x:c r="F55" s="17" t="str">
        <x:v>Encoder 0</x:v>
      </x:c>
      <x:c r="G55" s="17" t="str">
        <x:v>Turn</x:v>
      </x:c>
      <x:c r="H55" s="17" t="str">
        <x:v>Adjust modulation amount</x:v>
      </x:c>
      <x:c r="I55" s="17" t="str">
        <x:v>Routing amount changes</x:v>
      </x:c>
      <x:c r="J55" s="17" t="str">
        <x:v>Defined</x:v>
      </x:c>
      <x:c r="K55" s="17" t="str">
        <x:v>User control notes</x:v>
      </x:c>
      <x:c r="L55" s="18" t="str"/>
    </x:row>
    <x:row r="56" ht="34" customHeight="1">
      <x:c r="A56" s="16" t="str">
        <x:v>C-051</x:v>
      </x:c>
      <x:c r="B56" s="16" t="str">
        <x:v>Instrument</x:v>
      </x:c>
      <x:c r="C56" s="16" t="str">
        <x:v>Modulation matrix</x:v>
      </x:c>
      <x:c r="D56" s="17" t="str">
        <x:v>Amount edit</x:v>
      </x:c>
      <x:c r="E56" s="17" t="str">
        <x:v>Edit</x:v>
      </x:c>
      <x:c r="F56" s="17" t="str">
        <x:v>Encoder 0 button</x:v>
      </x:c>
      <x:c r="G56" s="17" t="str">
        <x:v>Press</x:v>
      </x:c>
      <x:c r="H56" s="17" t="str">
        <x:v>Save modulation amount</x:v>
      </x:c>
      <x:c r="I56" s="17" t="str">
        <x:v>Return to target browse</x:v>
      </x:c>
      <x:c r="J56" s="17" t="str">
        <x:v>Defined</x:v>
      </x:c>
      <x:c r="K56" s="17" t="str">
        <x:v>User control notes</x:v>
      </x:c>
      <x:c r="L56" s="18" t="str"/>
    </x:row>
    <x:row r="57" ht="34" customHeight="1">
      <x:c r="A57" s="16" t="str">
        <x:v>C-052</x:v>
      </x:c>
      <x:c r="B57" s="16" t="str">
        <x:v>Instrument</x:v>
      </x:c>
      <x:c r="C57" s="16" t="str">
        <x:v>Modulation matrix</x:v>
      </x:c>
      <x:c r="D57" s="17" t="str">
        <x:v>Target or amount edit</x:v>
      </x:c>
      <x:c r="E57" s="17" t="str">
        <x:v>Edit</x:v>
      </x:c>
      <x:c r="F57" s="17" t="str">
        <x:v>Encoder 1 button</x:v>
      </x:c>
      <x:c r="G57" s="17" t="str">
        <x:v>Press</x:v>
      </x:c>
      <x:c r="H57" s="17" t="str">
        <x:v>Go back or cancel current edit</x:v>
      </x:c>
      <x:c r="I57" s="17" t="str">
        <x:v>Previous matrix state</x:v>
      </x:c>
      <x:c r="J57" s="17" t="str">
        <x:v>Defined</x:v>
      </x:c>
      <x:c r="K57" s="17" t="str">
        <x:v>User control notes</x:v>
      </x:c>
      <x:c r="L57" s="18" t="str"/>
    </x:row>
    <x:row r="58" ht="34" customHeight="1">
      <x:c r="A58" s="16" t="str">
        <x:v>C-053</x:v>
      </x:c>
      <x:c r="B58" s="16" t="str">
        <x:v>Instrument</x:v>
      </x:c>
      <x:c r="C58" s="16" t="str">
        <x:v>Modulation matrix</x:v>
      </x:c>
      <x:c r="D58" s="17" t="str">
        <x:v>Source browse</x:v>
      </x:c>
      <x:c r="E58" s="17" t="str">
        <x:v>Normal</x:v>
      </x:c>
      <x:c r="F58" s="17" t="str">
        <x:v>Encoder 0 button</x:v>
      </x:c>
      <x:c r="G58" s="17" t="str">
        <x:v>Hold</x:v>
      </x:c>
      <x:c r="H58" s="17" t="str">
        <x:v>Open selected source settings</x:v>
      </x:c>
      <x:c r="I58" s="17" t="str">
        <x:v>Modulation-source settings page</x:v>
      </x:c>
      <x:c r="J58" s="17" t="str">
        <x:v>Defined</x:v>
      </x:c>
      <x:c r="K58" s="17" t="str">
        <x:v>User control notes</x:v>
      </x:c>
      <x:c r="L58" s="18" t="str"/>
    </x:row>
    <x:row r="59" ht="34" customHeight="1">
      <x:c r="A59" s="16" t="str">
        <x:v>C-054</x:v>
      </x:c>
      <x:c r="B59" s="16" t="str">
        <x:v>Instrument</x:v>
      </x:c>
      <x:c r="C59" s="16" t="str">
        <x:v>Modulation matrix</x:v>
      </x:c>
      <x:c r="D59" s="17" t="str">
        <x:v>Source browse</x:v>
      </x:c>
      <x:c r="E59" s="17" t="str">
        <x:v>Normal</x:v>
      </x:c>
      <x:c r="F59" s="17" t="str">
        <x:v>Encoder 1 button</x:v>
      </x:c>
      <x:c r="G59" s="17" t="str">
        <x:v>Press</x:v>
      </x:c>
      <x:c r="H59" s="17" t="str">
        <x:v>Toggle selected source</x:v>
      </x:c>
      <x:c r="I59" s="17" t="str">
        <x:v>Source becomes active or inactive</x:v>
      </x:c>
      <x:c r="J59" s="17" t="str">
        <x:v>Defined</x:v>
      </x:c>
      <x:c r="K59" s="17" t="str">
        <x:v>User control notes</x:v>
      </x:c>
      <x:c r="L59" s="18" t="str"/>
    </x:row>
    <x:row r="60" ht="34" customHeight="1">
      <x:c r="A60" s="16" t="str">
        <x:v>C-055</x:v>
      </x:c>
      <x:c r="B60" s="16" t="str">
        <x:v>Instrument</x:v>
      </x:c>
      <x:c r="C60" s="16" t="str">
        <x:v>Modulation matrix</x:v>
      </x:c>
      <x:c r="D60" s="17" t="str">
        <x:v>Any</x:v>
      </x:c>
      <x:c r="E60" s="17" t="str">
        <x:v>Normal</x:v>
      </x:c>
      <x:c r="F60" s="17" t="str">
        <x:v>Encoder 3 button</x:v>
      </x:c>
      <x:c r="G60" s="17" t="str">
        <x:v>Short press</x:v>
      </x:c>
      <x:c r="H60" s="17" t="str">
        <x:v>Return to performance-view selection</x:v>
      </x:c>
      <x:c r="I60" s="17" t="str">
        <x:v>Performance-view selector</x:v>
      </x:c>
      <x:c r="J60" s="17" t="str">
        <x:v>Defined</x:v>
      </x:c>
      <x:c r="K60" s="17" t="str">
        <x:v>User control notes</x:v>
      </x:c>
      <x:c r="L60" s="18" t="str"/>
    </x:row>
    <x:row r="61" ht="34" customHeight="1">
      <x:c r="A61" s="16" t="str">
        <x:v>C-056</x:v>
      </x:c>
      <x:c r="B61" s="16" t="str">
        <x:v>Instrument</x:v>
      </x:c>
      <x:c r="C61" s="16" t="str">
        <x:v>Modulation matrix</x:v>
      </x:c>
      <x:c r="D61" s="17" t="str">
        <x:v>Any</x:v>
      </x:c>
      <x:c r="E61" s="17" t="str">
        <x:v>Normal</x:v>
      </x:c>
      <x:c r="F61" s="17" t="str">
        <x:v>Encoder 3 button</x:v>
      </x:c>
      <x:c r="G61" s="17" t="str">
        <x:v>Hold</x:v>
      </x:c>
      <x:c r="H61" s="17" t="str">
        <x:v>Return to instrument engine</x:v>
      </x:c>
      <x:c r="I61" s="17" t="str">
        <x:v>Main engine page</x:v>
      </x:c>
      <x:c r="J61" s="17" t="str">
        <x:v>Defined</x:v>
      </x:c>
      <x:c r="K61" s="17" t="str">
        <x:v>User control notes</x:v>
      </x:c>
      <x:c r="L61" s="18" t="str"/>
    </x:row>
    <x:row r="62" ht="34" customHeight="1">
      <x:c r="A62" s="16" t="str">
        <x:v>C-057</x:v>
      </x:c>
      <x:c r="B62" s="16" t="str">
        <x:v>Instrument</x:v>
      </x:c>
      <x:c r="C62" s="16" t="str">
        <x:v>Mod-source settings</x:v>
      </x:c>
      <x:c r="D62" s="17" t="str">
        <x:v>Parameter page</x:v>
      </x:c>
      <x:c r="E62" s="17" t="str">
        <x:v>Normal</x:v>
      </x:c>
      <x:c r="F62" s="17" t="str">
        <x:v>Encoders 0 to 3</x:v>
      </x:c>
      <x:c r="G62" s="17" t="str">
        <x:v>Turn</x:v>
      </x:c>
      <x:c r="H62" s="17" t="str">
        <x:v>Adjust assigned source parameter</x:v>
      </x:c>
      <x:c r="I62" s="17" t="str">
        <x:v>Parameter value changes</x:v>
      </x:c>
      <x:c r="J62" s="17" t="str">
        <x:v>Proposed</x:v>
      </x:c>
      <x:c r="K62" s="17" t="str">
        <x:v>Workbook proposal</x:v>
      </x:c>
      <x:c r="L62" s="18" t="str"/>
    </x:row>
    <x:row r="63" ht="34" customHeight="1">
      <x:c r="A63" s="16" t="str">
        <x:v>C-058</x:v>
      </x:c>
      <x:c r="B63" s="16" t="str">
        <x:v>Instrument</x:v>
      </x:c>
      <x:c r="C63" s="16" t="str">
        <x:v>Mod-source settings</x:v>
      </x:c>
      <x:c r="D63" s="17" t="str">
        <x:v>Parameter page</x:v>
      </x:c>
      <x:c r="E63" s="17" t="str">
        <x:v>Normal</x:v>
      </x:c>
      <x:c r="F63" s="17" t="str">
        <x:v>Encoder 3 button</x:v>
      </x:c>
      <x:c r="G63" s="17" t="str">
        <x:v>Short press</x:v>
      </x:c>
      <x:c r="H63" s="17" t="str">
        <x:v>Advance source parameter page</x:v>
      </x:c>
      <x:c r="I63" s="17" t="str">
        <x:v>Next page; wrap after final page</x:v>
      </x:c>
      <x:c r="J63" s="17" t="str">
        <x:v>Proposed</x:v>
      </x:c>
      <x:c r="K63" s="17" t="str">
        <x:v>Workbook proposal</x:v>
      </x:c>
      <x:c r="L63" s="18" t="str">
        <x:v>Inferred from the familiar parameter-page scheme.</x:v>
      </x:c>
    </x:row>
    <x:row r="64" ht="34" customHeight="1">
      <x:c r="A64" s="16" t="str">
        <x:v>C-059</x:v>
      </x:c>
      <x:c r="B64" s="16" t="str">
        <x:v>Instrument</x:v>
      </x:c>
      <x:c r="C64" s="16" t="str">
        <x:v>Mod-source settings</x:v>
      </x:c>
      <x:c r="D64" s="17" t="str">
        <x:v>Any</x:v>
      </x:c>
      <x:c r="E64" s="17" t="str">
        <x:v>Normal</x:v>
      </x:c>
      <x:c r="F64" s="17" t="str">
        <x:v>Encoder 3 button</x:v>
      </x:c>
      <x:c r="G64" s="17" t="str">
        <x:v>Hold</x:v>
      </x:c>
      <x:c r="H64" s="17" t="str">
        <x:v>Return to modulation matrix</x:v>
      </x:c>
      <x:c r="I64" s="17" t="str">
        <x:v>Same source remains selected</x:v>
      </x:c>
      <x:c r="J64" s="17" t="str">
        <x:v>Proposed</x:v>
      </x:c>
      <x:c r="K64" s="17" t="str">
        <x:v>Workbook proposal</x:v>
      </x:c>
      <x:c r="L64" s="18" t="str">
        <x:v>Return mapping was not explicitly specified.</x:v>
      </x:c>
    </x:row>
    <x:row r="65" ht="34" customHeight="1">
      <x:c r="A65" s="16" t="str">
        <x:v>C-060</x:v>
      </x:c>
      <x:c r="B65" s="16" t="str">
        <x:v>Instrument</x:v>
      </x:c>
      <x:c r="C65" s="16" t="str">
        <x:v>Macro editor</x:v>
      </x:c>
      <x:c r="D65" s="17" t="str">
        <x:v>Macro browse</x:v>
      </x:c>
      <x:c r="E65" s="17" t="str">
        <x:v>Normal</x:v>
      </x:c>
      <x:c r="F65" s="17" t="str">
        <x:v>Encoder 0</x:v>
      </x:c>
      <x:c r="G65" s="17" t="str">
        <x:v>Turn</x:v>
      </x:c>
      <x:c r="H65" s="17" t="str">
        <x:v>Scroll macro selection</x:v>
      </x:c>
      <x:c r="I65" s="17" t="str">
        <x:v>Highlighted macro changes</x:v>
      </x:c>
      <x:c r="J65" s="17" t="str">
        <x:v>Defined</x:v>
      </x:c>
      <x:c r="K65" s="17" t="str">
        <x:v>User control notes</x:v>
      </x:c>
      <x:c r="L65" s="18" t="str"/>
    </x:row>
    <x:row r="66" ht="34" customHeight="1">
      <x:c r="A66" s="16" t="str">
        <x:v>C-061</x:v>
      </x:c>
      <x:c r="B66" s="16" t="str">
        <x:v>Instrument</x:v>
      </x:c>
      <x:c r="C66" s="16" t="str">
        <x:v>Macro editor</x:v>
      </x:c>
      <x:c r="D66" s="17" t="str">
        <x:v>Macro browse</x:v>
      </x:c>
      <x:c r="E66" s="17" t="str">
        <x:v>Normal</x:v>
      </x:c>
      <x:c r="F66" s="17" t="str">
        <x:v>Encoder 0 button</x:v>
      </x:c>
      <x:c r="G66" s="17" t="str">
        <x:v>Press</x:v>
      </x:c>
      <x:c r="H66" s="17" t="str">
        <x:v>Open selected macro</x:v>
      </x:c>
      <x:c r="I66" s="17" t="str">
        <x:v>Macro settings page</x:v>
      </x:c>
      <x:c r="J66" s="17" t="str">
        <x:v>Defined</x:v>
      </x:c>
      <x:c r="K66" s="17" t="str">
        <x:v>User control notes</x:v>
      </x:c>
      <x:c r="L66" s="18" t="str"/>
    </x:row>
    <x:row r="67" ht="34" customHeight="1">
      <x:c r="A67" s="16" t="str">
        <x:v>C-062</x:v>
      </x:c>
      <x:c r="B67" s="16" t="str">
        <x:v>Instrument</x:v>
      </x:c>
      <x:c r="C67" s="16" t="str">
        <x:v>Macro settings</x:v>
      </x:c>
      <x:c r="D67" s="17" t="str">
        <x:v>Field browse</x:v>
      </x:c>
      <x:c r="E67" s="17" t="str">
        <x:v>Normal</x:v>
      </x:c>
      <x:c r="F67" s="17" t="str">
        <x:v>Encoder 0</x:v>
      </x:c>
      <x:c r="G67" s="17" t="str">
        <x:v>Turn</x:v>
      </x:c>
      <x:c r="H67" s="17" t="str">
        <x:v>Scroll macro name, mappings, and add row</x:v>
      </x:c>
      <x:c r="I67" s="17" t="str">
        <x:v>Highlighted field changes</x:v>
      </x:c>
      <x:c r="J67" s="17" t="str">
        <x:v>Defined</x:v>
      </x:c>
      <x:c r="K67" s="17" t="str">
        <x:v>User control notes</x:v>
      </x:c>
      <x:c r="L67" s="18" t="str"/>
    </x:row>
    <x:row r="68" ht="34" customHeight="1">
      <x:c r="A68" s="16" t="str">
        <x:v>C-063</x:v>
      </x:c>
      <x:c r="B68" s="16" t="str">
        <x:v>Instrument</x:v>
      </x:c>
      <x:c r="C68" s="16" t="str">
        <x:v>Macro settings</x:v>
      </x:c>
      <x:c r="D68" s="17" t="str">
        <x:v>Field browse</x:v>
      </x:c>
      <x:c r="E68" s="17" t="str">
        <x:v>Normal</x:v>
      </x:c>
      <x:c r="F68" s="17" t="str">
        <x:v>Encoder 0 button</x:v>
      </x:c>
      <x:c r="G68" s="17" t="str">
        <x:v>Press</x:v>
      </x:c>
      <x:c r="H68" s="17" t="str">
        <x:v>Edit highlighted field</x:v>
      </x:c>
      <x:c r="I68" s="17" t="str">
        <x:v>Context-specific editor opens</x:v>
      </x:c>
      <x:c r="J68" s="17" t="str">
        <x:v>Defined</x:v>
      </x:c>
      <x:c r="K68" s="17" t="str">
        <x:v>User control notes</x:v>
      </x:c>
      <x:c r="L68" s="18" t="str"/>
    </x:row>
    <x:row r="69" ht="34" customHeight="1">
      <x:c r="A69" s="16" t="str">
        <x:v>C-064</x:v>
      </x:c>
      <x:c r="B69" s="16" t="str">
        <x:v>Instrument</x:v>
      </x:c>
      <x:c r="C69" s="16" t="str">
        <x:v>Macro settings</x:v>
      </x:c>
      <x:c r="D69" s="17" t="str">
        <x:v>Name edit</x:v>
      </x:c>
      <x:c r="E69" s="17" t="str">
        <x:v>Edit</x:v>
      </x:c>
      <x:c r="F69" s="17" t="str">
        <x:v>Encoder 0 button</x:v>
      </x:c>
      <x:c r="G69" s="17" t="str">
        <x:v>Press</x:v>
      </x:c>
      <x:c r="H69" s="17" t="str">
        <x:v>Open standardized text editor</x:v>
      </x:c>
      <x:c r="I69" s="17" t="str">
        <x:v>Macro name editor</x:v>
      </x:c>
      <x:c r="J69" s="17" t="str">
        <x:v>Defined</x:v>
      </x:c>
      <x:c r="K69" s="17" t="str">
        <x:v>User control notes</x:v>
      </x:c>
      <x:c r="L69" s="18" t="str"/>
    </x:row>
    <x:row r="70" ht="34" customHeight="1">
      <x:c r="A70" s="16" t="str">
        <x:v>C-065</x:v>
      </x:c>
      <x:c r="B70" s="16" t="str">
        <x:v>Instrument</x:v>
      </x:c>
      <x:c r="C70" s="16" t="str">
        <x:v>Macro settings</x:v>
      </x:c>
      <x:c r="D70" s="17" t="str">
        <x:v>Mapping amount edit</x:v>
      </x:c>
      <x:c r="E70" s="17" t="str">
        <x:v>Edit</x:v>
      </x:c>
      <x:c r="F70" s="17" t="str">
        <x:v>Encoder 0</x:v>
      </x:c>
      <x:c r="G70" s="17" t="str">
        <x:v>Turn</x:v>
      </x:c>
      <x:c r="H70" s="17" t="str">
        <x:v>Adjust mapped amount</x:v>
      </x:c>
      <x:c r="I70" s="17" t="str">
        <x:v>Mapping depth changes</x:v>
      </x:c>
      <x:c r="J70" s="17" t="str">
        <x:v>Defined</x:v>
      </x:c>
      <x:c r="K70" s="17" t="str">
        <x:v>User control notes</x:v>
      </x:c>
      <x:c r="L70" s="18" t="str"/>
    </x:row>
    <x:row r="71" ht="34" customHeight="1">
      <x:c r="A71" s="16" t="str">
        <x:v>C-066</x:v>
      </x:c>
      <x:c r="B71" s="16" t="str">
        <x:v>Instrument</x:v>
      </x:c>
      <x:c r="C71" s="16" t="str">
        <x:v>Macro settings</x:v>
      </x:c>
      <x:c r="D71" s="17" t="str">
        <x:v>Mapping amount edit</x:v>
      </x:c>
      <x:c r="E71" s="17" t="str">
        <x:v>Edit</x:v>
      </x:c>
      <x:c r="F71" s="17" t="str">
        <x:v>Encoder 0 button</x:v>
      </x:c>
      <x:c r="G71" s="17" t="str">
        <x:v>Press</x:v>
      </x:c>
      <x:c r="H71" s="17" t="str">
        <x:v>Save mapped amount</x:v>
      </x:c>
      <x:c r="I71" s="17" t="str">
        <x:v>Return to field browse</x:v>
      </x:c>
      <x:c r="J71" s="17" t="str">
        <x:v>Defined</x:v>
      </x:c>
      <x:c r="K71" s="17" t="str">
        <x:v>User control notes</x:v>
      </x:c>
      <x:c r="L71" s="18" t="str"/>
    </x:row>
    <x:row r="72" ht="34" customHeight="1">
      <x:c r="A72" s="16" t="str">
        <x:v>C-067</x:v>
      </x:c>
      <x:c r="B72" s="16" t="str">
        <x:v>Instrument</x:v>
      </x:c>
      <x:c r="C72" s="16" t="str">
        <x:v>Macro settings</x:v>
      </x:c>
      <x:c r="D72" s="17" t="str">
        <x:v>Add mapping</x:v>
      </x:c>
      <x:c r="E72" s="17" t="str">
        <x:v>Edit</x:v>
      </x:c>
      <x:c r="F72" s="17" t="str">
        <x:v>Encoder 0</x:v>
      </x:c>
      <x:c r="G72" s="17" t="str">
        <x:v>Turn</x:v>
      </x:c>
      <x:c r="H72" s="17" t="str">
        <x:v>Scroll parameter choices</x:v>
      </x:c>
      <x:c r="I72" s="17" t="str">
        <x:v>Highlighted parameter changes</x:v>
      </x:c>
      <x:c r="J72" s="17" t="str">
        <x:v>Defined</x:v>
      </x:c>
      <x:c r="K72" s="17" t="str">
        <x:v>User control notes</x:v>
      </x:c>
      <x:c r="L72" s="18" t="str"/>
    </x:row>
    <x:row r="73" ht="34" customHeight="1">
      <x:c r="A73" s="16" t="str">
        <x:v>C-068</x:v>
      </x:c>
      <x:c r="B73" s="16" t="str">
        <x:v>Instrument</x:v>
      </x:c>
      <x:c r="C73" s="16" t="str">
        <x:v>Macro settings</x:v>
      </x:c>
      <x:c r="D73" s="17" t="str">
        <x:v>Add mapping</x:v>
      </x:c>
      <x:c r="E73" s="17" t="str">
        <x:v>Edit</x:v>
      </x:c>
      <x:c r="F73" s="17" t="str">
        <x:v>Encoder 1 button</x:v>
      </x:c>
      <x:c r="G73" s="17" t="str">
        <x:v>Press</x:v>
      </x:c>
      <x:c r="H73" s="17" t="str">
        <x:v>Cancel parameter selection</x:v>
      </x:c>
      <x:c r="I73" s="17" t="str">
        <x:v>Return to macro settings</x:v>
      </x:c>
      <x:c r="J73" s="17" t="str">
        <x:v>Defined</x:v>
      </x:c>
      <x:c r="K73" s="17" t="str">
        <x:v>User control notes</x:v>
      </x:c>
      <x:c r="L73" s="18" t="str"/>
    </x:row>
    <x:row r="74" ht="34" customHeight="1">
      <x:c r="A74" s="16" t="str">
        <x:v>C-069</x:v>
      </x:c>
      <x:c r="B74" s="16" t="str">
        <x:v>Instrument</x:v>
      </x:c>
      <x:c r="C74" s="16" t="str">
        <x:v>Macro settings</x:v>
      </x:c>
      <x:c r="D74" s="17" t="str">
        <x:v>Add mapping</x:v>
      </x:c>
      <x:c r="E74" s="17" t="str">
        <x:v>Edit</x:v>
      </x:c>
      <x:c r="F74" s="17" t="str">
        <x:v>Encoder 0 button</x:v>
      </x:c>
      <x:c r="G74" s="17" t="str">
        <x:v>Press</x:v>
      </x:c>
      <x:c r="H74" s="17" t="str">
        <x:v>Add highlighted parameter</x:v>
      </x:c>
      <x:c r="I74" s="17" t="str">
        <x:v>New mapping added at amount 0</x:v>
      </x:c>
      <x:c r="J74" s="17" t="str">
        <x:v>Defined</x:v>
      </x:c>
      <x:c r="K74" s="17" t="str">
        <x:v>User control notes</x:v>
      </x:c>
      <x:c r="L74" s="18" t="str"/>
    </x:row>
    <x:row r="75" ht="34" customHeight="1">
      <x:c r="A75" s="16" t="str">
        <x:v>C-070</x:v>
      </x:c>
      <x:c r="B75" s="16" t="str">
        <x:v>Instrument</x:v>
      </x:c>
      <x:c r="C75" s="16" t="str">
        <x:v>Macro settings</x:v>
      </x:c>
      <x:c r="D75" s="17" t="str">
        <x:v>Any</x:v>
      </x:c>
      <x:c r="E75" s="17" t="str">
        <x:v>Normal</x:v>
      </x:c>
      <x:c r="F75" s="17" t="str">
        <x:v>Encoder 3 button</x:v>
      </x:c>
      <x:c r="G75" s="17" t="str">
        <x:v>Short press</x:v>
      </x:c>
      <x:c r="H75" s="17" t="str">
        <x:v>Return to macro editor</x:v>
      </x:c>
      <x:c r="I75" s="17" t="str">
        <x:v>Macro browse with same macro selected</x:v>
      </x:c>
      <x:c r="J75" s="17" t="str">
        <x:v>Defined</x:v>
      </x:c>
      <x:c r="K75" s="17" t="str">
        <x:v>User control notes</x:v>
      </x:c>
      <x:c r="L75" s="18" t="str"/>
    </x:row>
    <x:row r="76" ht="34" customHeight="1">
      <x:c r="A76" s="16" t="str">
        <x:v>C-071</x:v>
      </x:c>
      <x:c r="B76" s="16" t="str">
        <x:v>Instrument</x:v>
      </x:c>
      <x:c r="C76" s="16" t="str">
        <x:v>Macro settings</x:v>
      </x:c>
      <x:c r="D76" s="17" t="str">
        <x:v>Any</x:v>
      </x:c>
      <x:c r="E76" s="17" t="str">
        <x:v>Normal</x:v>
      </x:c>
      <x:c r="F76" s="17" t="str">
        <x:v>Encoder 3 button</x:v>
      </x:c>
      <x:c r="G76" s="17" t="str">
        <x:v>Hold</x:v>
      </x:c>
      <x:c r="H76" s="17" t="str">
        <x:v>Return to instrument engine</x:v>
      </x:c>
      <x:c r="I76" s="17" t="str">
        <x:v>Main engine page</x:v>
      </x:c>
      <x:c r="J76" s="17" t="str">
        <x:v>Defined</x:v>
      </x:c>
      <x:c r="K76" s="17" t="str">
        <x:v>User control notes</x:v>
      </x:c>
      <x:c r="L76" s="18" t="str"/>
    </x:row>
    <x:row r="77" ht="34" customHeight="1">
      <x:c r="A77" s="16" t="str">
        <x:v>C-072</x:v>
      </x:c>
      <x:c r="B77" s="16" t="str">
        <x:v>Instrument</x:v>
      </x:c>
      <x:c r="C77" s="16" t="str">
        <x:v>Sequencer</x:v>
      </x:c>
      <x:c r="D77" s="17" t="str">
        <x:v>Note-bar browse</x:v>
      </x:c>
      <x:c r="E77" s="17" t="str">
        <x:v>Normal</x:v>
      </x:c>
      <x:c r="F77" s="17" t="str">
        <x:v>Encoder 0</x:v>
      </x:c>
      <x:c r="G77" s="17" t="str">
        <x:v>Turn</x:v>
      </x:c>
      <x:c r="H77" s="17" t="str">
        <x:v>Scroll note bars</x:v>
      </x:c>
      <x:c r="I77" s="17" t="str">
        <x:v>Highlighted bar changes</x:v>
      </x:c>
      <x:c r="J77" s="17" t="str">
        <x:v>Defined</x:v>
      </x:c>
      <x:c r="K77" s="17" t="str">
        <x:v>User control notes</x:v>
      </x:c>
      <x:c r="L77" s="18" t="str"/>
    </x:row>
    <x:row r="78" ht="34" customHeight="1">
      <x:c r="A78" s="16" t="str">
        <x:v>C-073</x:v>
      </x:c>
      <x:c r="B78" s="16" t="str">
        <x:v>Instrument</x:v>
      </x:c>
      <x:c r="C78" s="16" t="str">
        <x:v>Sequencer</x:v>
      </x:c>
      <x:c r="D78" s="17" t="str">
        <x:v>Note-bar browse</x:v>
      </x:c>
      <x:c r="E78" s="17" t="str">
        <x:v>Normal</x:v>
      </x:c>
      <x:c r="F78" s="17" t="str">
        <x:v>Encoder 0 button</x:v>
      </x:c>
      <x:c r="G78" s="17" t="str">
        <x:v>Short press</x:v>
      </x:c>
      <x:c r="H78" s="17" t="str">
        <x:v>Select highlighted bar</x:v>
      </x:c>
      <x:c r="I78" s="17" t="str">
        <x:v>Enter note edit</x:v>
      </x:c>
      <x:c r="J78" s="17" t="str">
        <x:v>Defined</x:v>
      </x:c>
      <x:c r="K78" s="17" t="str">
        <x:v>User control notes</x:v>
      </x:c>
      <x:c r="L78" s="18" t="str"/>
    </x:row>
    <x:row r="79" ht="34" customHeight="1">
      <x:c r="A79" s="16" t="str">
        <x:v>C-074</x:v>
      </x:c>
      <x:c r="B79" s="16" t="str">
        <x:v>Instrument</x:v>
      </x:c>
      <x:c r="C79" s="16" t="str">
        <x:v>Sequencer</x:v>
      </x:c>
      <x:c r="D79" s="17" t="str">
        <x:v>Note edit</x:v>
      </x:c>
      <x:c r="E79" s="17" t="str">
        <x:v>Edit</x:v>
      </x:c>
      <x:c r="F79" s="17" t="str">
        <x:v>Encoder 0</x:v>
      </x:c>
      <x:c r="G79" s="17" t="str">
        <x:v>Turn</x:v>
      </x:c>
      <x:c r="H79" s="17" t="str">
        <x:v>Adjust note value</x:v>
      </x:c>
      <x:c r="I79" s="17" t="str">
        <x:v>Note changes within current scale</x:v>
      </x:c>
      <x:c r="J79" s="17" t="str">
        <x:v>Defined</x:v>
      </x:c>
      <x:c r="K79" s="17" t="str">
        <x:v>User control notes</x:v>
      </x:c>
      <x:c r="L79" s="18" t="str"/>
    </x:row>
    <x:row r="80" ht="34" customHeight="1">
      <x:c r="A80" s="16" t="str">
        <x:v>C-075</x:v>
      </x:c>
      <x:c r="B80" s="16" t="str">
        <x:v>Instrument</x:v>
      </x:c>
      <x:c r="C80" s="16" t="str">
        <x:v>Sequencer</x:v>
      </x:c>
      <x:c r="D80" s="17" t="str">
        <x:v>Note edit</x:v>
      </x:c>
      <x:c r="E80" s="17" t="str">
        <x:v>Edit</x:v>
      </x:c>
      <x:c r="F80" s="17" t="str">
        <x:v>Encoder 1 button</x:v>
      </x:c>
      <x:c r="G80" s="17" t="str">
        <x:v>Press</x:v>
      </x:c>
      <x:c r="H80" s="17" t="str">
        <x:v>Toggle note activation</x:v>
      </x:c>
      <x:c r="I80" s="17" t="str">
        <x:v>Step becomes active or inactive</x:v>
      </x:c>
      <x:c r="J80" s="17" t="str">
        <x:v>Defined</x:v>
      </x:c>
      <x:c r="K80" s="17" t="str">
        <x:v>User control notes</x:v>
      </x:c>
      <x:c r="L80" s="18" t="str"/>
    </x:row>
    <x:row r="81" ht="34" customHeight="1">
      <x:c r="A81" s="16" t="str">
        <x:v>C-076</x:v>
      </x:c>
      <x:c r="B81" s="16" t="str">
        <x:v>Instrument</x:v>
      </x:c>
      <x:c r="C81" s="16" t="str">
        <x:v>Sequencer</x:v>
      </x:c>
      <x:c r="D81" s="17" t="str">
        <x:v>Note edit</x:v>
      </x:c>
      <x:c r="E81" s="17" t="str">
        <x:v>Edit</x:v>
      </x:c>
      <x:c r="F81" s="17" t="str">
        <x:v>Encoder 0 button</x:v>
      </x:c>
      <x:c r="G81" s="17" t="str">
        <x:v>Press</x:v>
      </x:c>
      <x:c r="H81" s="17" t="str">
        <x:v>Save note value</x:v>
      </x:c>
      <x:c r="I81" s="17" t="str">
        <x:v>Return to note-bar browse</x:v>
      </x:c>
      <x:c r="J81" s="17" t="str">
        <x:v>Defined</x:v>
      </x:c>
      <x:c r="K81" s="17" t="str">
        <x:v>User control notes</x:v>
      </x:c>
      <x:c r="L81" s="18" t="str"/>
    </x:row>
    <x:row r="82" ht="34" customHeight="1">
      <x:c r="A82" s="16" t="str">
        <x:v>C-077</x:v>
      </x:c>
      <x:c r="B82" s="16" t="str">
        <x:v>Instrument</x:v>
      </x:c>
      <x:c r="C82" s="16" t="str">
        <x:v>Sequencer</x:v>
      </x:c>
      <x:c r="D82" s="17" t="str">
        <x:v>Note-bar browse</x:v>
      </x:c>
      <x:c r="E82" s="17" t="str">
        <x:v>Normal</x:v>
      </x:c>
      <x:c r="F82" s="17" t="str">
        <x:v>Encoder 0 button</x:v>
      </x:c>
      <x:c r="G82" s="17" t="str">
        <x:v>Hold</x:v>
      </x:c>
      <x:c r="H82" s="17" t="str">
        <x:v>Switch focus to sequencer settings</x:v>
      </x:c>
      <x:c r="I82" s="17" t="str">
        <x:v>Left-most setting becomes selected</x:v>
      </x:c>
      <x:c r="J82" s="17" t="str">
        <x:v>Defined</x:v>
      </x:c>
      <x:c r="K82" s="17" t="str">
        <x:v>User control notes</x:v>
      </x:c>
      <x:c r="L82" s="18" t="str"/>
    </x:row>
    <x:row r="83" ht="34" customHeight="1">
      <x:c r="A83" s="16" t="str">
        <x:v>C-078</x:v>
      </x:c>
      <x:c r="B83" s="16" t="str">
        <x:v>Instrument</x:v>
      </x:c>
      <x:c r="C83" s="16" t="str">
        <x:v>Sequencer</x:v>
      </x:c>
      <x:c r="D83" s="17" t="str">
        <x:v>Settings browse</x:v>
      </x:c>
      <x:c r="E83" s="17" t="str">
        <x:v>Normal</x:v>
      </x:c>
      <x:c r="F83" s="17" t="str">
        <x:v>Encoder 0</x:v>
      </x:c>
      <x:c r="G83" s="17" t="str">
        <x:v>Turn</x:v>
      </x:c>
      <x:c r="H83" s="17" t="str">
        <x:v>Scroll settings</x:v>
      </x:c>
      <x:c r="I83" s="17" t="str">
        <x:v>Highlighted setting changes</x:v>
      </x:c>
      <x:c r="J83" s="17" t="str">
        <x:v>Proposed</x:v>
      </x:c>
      <x:c r="K83" s="17" t="str">
        <x:v>Workbook proposal</x:v>
      </x:c>
      <x:c r="L83" s="18" t="str">
        <x:v>Navigation was implied but not explicitly stated.</x:v>
      </x:c>
    </x:row>
    <x:row r="84" ht="34" customHeight="1">
      <x:c r="A84" s="16" t="str">
        <x:v>C-079</x:v>
      </x:c>
      <x:c r="B84" s="16" t="str">
        <x:v>Instrument</x:v>
      </x:c>
      <x:c r="C84" s="16" t="str">
        <x:v>Sequencer</x:v>
      </x:c>
      <x:c r="D84" s="17" t="str">
        <x:v>Settings browse</x:v>
      </x:c>
      <x:c r="E84" s="17" t="str">
        <x:v>Normal</x:v>
      </x:c>
      <x:c r="F84" s="17" t="str">
        <x:v>Encoder 0 button</x:v>
      </x:c>
      <x:c r="G84" s="17" t="str">
        <x:v>Short press</x:v>
      </x:c>
      <x:c r="H84" s="17" t="str">
        <x:v>Select highlighted setting</x:v>
      </x:c>
      <x:c r="I84" s="17" t="str">
        <x:v>Enter setting-value edit</x:v>
      </x:c>
      <x:c r="J84" s="17" t="str">
        <x:v>Defined</x:v>
      </x:c>
      <x:c r="K84" s="17" t="str">
        <x:v>User control notes</x:v>
      </x:c>
      <x:c r="L84" s="18" t="str"/>
    </x:row>
    <x:row r="85" ht="34" customHeight="1">
      <x:c r="A85" s="16" t="str">
        <x:v>C-080</x:v>
      </x:c>
      <x:c r="B85" s="16" t="str">
        <x:v>Instrument</x:v>
      </x:c>
      <x:c r="C85" s="16" t="str">
        <x:v>Sequencer</x:v>
      </x:c>
      <x:c r="D85" s="17" t="str">
        <x:v>Setting-value edit</x:v>
      </x:c>
      <x:c r="E85" s="17" t="str">
        <x:v>Edit</x:v>
      </x:c>
      <x:c r="F85" s="17" t="str">
        <x:v>Encoder 0</x:v>
      </x:c>
      <x:c r="G85" s="17" t="str">
        <x:v>Turn</x:v>
      </x:c>
      <x:c r="H85" s="17" t="str">
        <x:v>Adjust setting value</x:v>
      </x:c>
      <x:c r="I85" s="17" t="str">
        <x:v>Tempo, division, scale, or other value changes</x:v>
      </x:c>
      <x:c r="J85" s="17" t="str">
        <x:v>Defined</x:v>
      </x:c>
      <x:c r="K85" s="17" t="str">
        <x:v>User control notes</x:v>
      </x:c>
      <x:c r="L85" s="18" t="str"/>
    </x:row>
    <x:row r="86" ht="34" customHeight="1">
      <x:c r="A86" s="16" t="str">
        <x:v>C-081</x:v>
      </x:c>
      <x:c r="B86" s="16" t="str">
        <x:v>Instrument</x:v>
      </x:c>
      <x:c r="C86" s="16" t="str">
        <x:v>Sequencer</x:v>
      </x:c>
      <x:c r="D86" s="17" t="str">
        <x:v>Setting-value edit</x:v>
      </x:c>
      <x:c r="E86" s="17" t="str">
        <x:v>Edit</x:v>
      </x:c>
      <x:c r="F86" s="17" t="str">
        <x:v>Encoder 1 button</x:v>
      </x:c>
      <x:c r="G86" s="17" t="str">
        <x:v>Press</x:v>
      </x:c>
      <x:c r="H86" s="17" t="str">
        <x:v>Cancel value edit</x:v>
      </x:c>
      <x:c r="I86" s="17" t="str">
        <x:v>Return to settings browse without saving</x:v>
      </x:c>
      <x:c r="J86" s="17" t="str">
        <x:v>Defined</x:v>
      </x:c>
      <x:c r="K86" s="17" t="str">
        <x:v>User control notes</x:v>
      </x:c>
      <x:c r="L86" s="18" t="str"/>
    </x:row>
    <x:row r="87" ht="34" customHeight="1">
      <x:c r="A87" s="16" t="str">
        <x:v>C-082</x:v>
      </x:c>
      <x:c r="B87" s="16" t="str">
        <x:v>Instrument</x:v>
      </x:c>
      <x:c r="C87" s="16" t="str">
        <x:v>Sequencer</x:v>
      </x:c>
      <x:c r="D87" s="17" t="str">
        <x:v>Setting-value edit</x:v>
      </x:c>
      <x:c r="E87" s="17" t="str">
        <x:v>Edit</x:v>
      </x:c>
      <x:c r="F87" s="17" t="str">
        <x:v>Encoder 0 button</x:v>
      </x:c>
      <x:c r="G87" s="17" t="str">
        <x:v>Press</x:v>
      </x:c>
      <x:c r="H87" s="17" t="str">
        <x:v>Save setting value</x:v>
      </x:c>
      <x:c r="I87" s="17" t="str">
        <x:v>Return to settings browse</x:v>
      </x:c>
      <x:c r="J87" s="17" t="str">
        <x:v>Defined</x:v>
      </x:c>
      <x:c r="K87" s="17" t="str">
        <x:v>User control notes</x:v>
      </x:c>
      <x:c r="L87" s="18" t="str"/>
    </x:row>
    <x:row r="88" ht="34" customHeight="1">
      <x:c r="A88" s="16" t="str">
        <x:v>C-083</x:v>
      </x:c>
      <x:c r="B88" s="16" t="str">
        <x:v>Instrument</x:v>
      </x:c>
      <x:c r="C88" s="16" t="str">
        <x:v>Sequencer</x:v>
      </x:c>
      <x:c r="D88" s="17" t="str">
        <x:v>Any</x:v>
      </x:c>
      <x:c r="E88" s="17" t="str">
        <x:v>Normal</x:v>
      </x:c>
      <x:c r="F88" s="17" t="str">
        <x:v>Encoder 3 button</x:v>
      </x:c>
      <x:c r="G88" s="17" t="str">
        <x:v>Short press</x:v>
      </x:c>
      <x:c r="H88" s="17" t="str">
        <x:v>Return to performance-view selection</x:v>
      </x:c>
      <x:c r="I88" s="17" t="str">
        <x:v>Performance-view selector</x:v>
      </x:c>
      <x:c r="J88" s="17" t="str">
        <x:v>Defined</x:v>
      </x:c>
      <x:c r="K88" s="17" t="str">
        <x:v>User control notes</x:v>
      </x:c>
      <x:c r="L88" s="18" t="str"/>
    </x:row>
    <x:row r="89" ht="34" customHeight="1">
      <x:c r="A89" s="16" t="str">
        <x:v>C-084</x:v>
      </x:c>
      <x:c r="B89" s="16" t="str">
        <x:v>Instrument</x:v>
      </x:c>
      <x:c r="C89" s="16" t="str">
        <x:v>Sequencer</x:v>
      </x:c>
      <x:c r="D89" s="17" t="str">
        <x:v>Any</x:v>
      </x:c>
      <x:c r="E89" s="17" t="str">
        <x:v>Normal</x:v>
      </x:c>
      <x:c r="F89" s="17" t="str">
        <x:v>Encoder 3 button</x:v>
      </x:c>
      <x:c r="G89" s="17" t="str">
        <x:v>Hold</x:v>
      </x:c>
      <x:c r="H89" s="17" t="str">
        <x:v>Return to instrument engine</x:v>
      </x:c>
      <x:c r="I89" s="17" t="str">
        <x:v>Main engine page</x:v>
      </x:c>
      <x:c r="J89" s="17" t="str">
        <x:v>Defined</x:v>
      </x:c>
      <x:c r="K89" s="17" t="str">
        <x:v>User control notes</x:v>
      </x:c>
      <x:c r="L89" s="18" t="str"/>
    </x:row>
    <x:row r="90" ht="34" customHeight="1">
      <x:c r="A90" s="16" t="str">
        <x:v>C-085</x:v>
      </x:c>
      <x:c r="B90" s="16" t="str">
        <x:v>Instrument</x:v>
      </x:c>
      <x:c r="C90" s="16" t="str">
        <x:v>Preset browser</x:v>
      </x:c>
      <x:c r="D90" s="17" t="str">
        <x:v>Preset browse</x:v>
      </x:c>
      <x:c r="E90" s="17" t="str">
        <x:v>Normal</x:v>
      </x:c>
      <x:c r="F90" s="17" t="str">
        <x:v>Encoder 0</x:v>
      </x:c>
      <x:c r="G90" s="17" t="str">
        <x:v>Turn</x:v>
      </x:c>
      <x:c r="H90" s="17" t="str">
        <x:v>Scroll presets for active engine</x:v>
      </x:c>
      <x:c r="I90" s="17" t="str">
        <x:v>Highlighted preset changes</x:v>
      </x:c>
      <x:c r="J90" s="17" t="str">
        <x:v>Proposed</x:v>
      </x:c>
      <x:c r="K90" s="17" t="str">
        <x:v>Workbook proposal</x:v>
      </x:c>
      <x:c r="L90" s="18" t="str"/>
    </x:row>
    <x:row r="91" ht="34" customHeight="1">
      <x:c r="A91" s="16" t="str">
        <x:v>C-086</x:v>
      </x:c>
      <x:c r="B91" s="16" t="str">
        <x:v>Instrument</x:v>
      </x:c>
      <x:c r="C91" s="16" t="str">
        <x:v>Preset browser</x:v>
      </x:c>
      <x:c r="D91" s="17" t="str">
        <x:v>Preset browse</x:v>
      </x:c>
      <x:c r="E91" s="17" t="str">
        <x:v>Normal</x:v>
      </x:c>
      <x:c r="F91" s="17" t="str">
        <x:v>Encoder 0 button</x:v>
      </x:c>
      <x:c r="G91" s="17" t="str">
        <x:v>Short press</x:v>
      </x:c>
      <x:c r="H91" s="17" t="str">
        <x:v>Load highlighted preset</x:v>
      </x:c>
      <x:c r="I91" s="17" t="str">
        <x:v>Engine state changes after compatibility check</x:v>
      </x:c>
      <x:c r="J91" s="17" t="str">
        <x:v>Proposed</x:v>
      </x:c>
      <x:c r="K91" s="17" t="str">
        <x:v>Workbook proposal</x:v>
      </x:c>
      <x:c r="L91" s="18" t="str"/>
    </x:row>
    <x:row r="92" ht="34" customHeight="1">
      <x:c r="A92" s="16" t="str">
        <x:v>C-087</x:v>
      </x:c>
      <x:c r="B92" s="16" t="str">
        <x:v>Instrument</x:v>
      </x:c>
      <x:c r="C92" s="16" t="str">
        <x:v>Preset browser</x:v>
      </x:c>
      <x:c r="D92" s="17" t="str">
        <x:v>Preset browse</x:v>
      </x:c>
      <x:c r="E92" s="17" t="str">
        <x:v>Normal</x:v>
      </x:c>
      <x:c r="F92" s="17" t="str">
        <x:v>Encoder 0 button</x:v>
      </x:c>
      <x:c r="G92" s="17" t="str">
        <x:v>Hold</x:v>
      </x:c>
      <x:c r="H92" s="17" t="str">
        <x:v>Open save flow</x:v>
      </x:c>
      <x:c r="I92" s="17" t="str">
        <x:v>Save New or Overwrite choice</x:v>
      </x:c>
      <x:c r="J92" s="17" t="str">
        <x:v>Proposed</x:v>
      </x:c>
      <x:c r="K92" s="17" t="str">
        <x:v>Workbook proposal</x:v>
      </x:c>
      <x:c r="L92" s="18" t="str"/>
    </x:row>
    <x:row r="93" ht="34" customHeight="1">
      <x:c r="A93" s="16" t="str">
        <x:v>C-088</x:v>
      </x:c>
      <x:c r="B93" s="16" t="str">
        <x:v>Instrument</x:v>
      </x:c>
      <x:c r="C93" s="16" t="str">
        <x:v>Preset browser</x:v>
      </x:c>
      <x:c r="D93" s="17" t="str">
        <x:v>Any</x:v>
      </x:c>
      <x:c r="E93" s="17" t="str">
        <x:v>Normal</x:v>
      </x:c>
      <x:c r="F93" s="17" t="str">
        <x:v>Encoder 1 button</x:v>
      </x:c>
      <x:c r="G93" s="17" t="str">
        <x:v>Press</x:v>
      </x:c>
      <x:c r="H93" s="17" t="str">
        <x:v>Cancel or go back</x:v>
      </x:c>
      <x:c r="I93" s="17" t="str">
        <x:v>Previous preset or engine state</x:v>
      </x:c>
      <x:c r="J93" s="17" t="str">
        <x:v>Proposed</x:v>
      </x:c>
      <x:c r="K93" s="17" t="str">
        <x:v>Workbook proposal</x:v>
      </x:c>
      <x:c r="L93" s="18" t="str"/>
    </x:row>
    <x:row r="94" ht="34" customHeight="1">
      <x:c r="A94" s="16" t="str">
        <x:v>C-089</x:v>
      </x:c>
      <x:c r="B94" s="16" t="str">
        <x:v>Instrument</x:v>
      </x:c>
      <x:c r="C94" s="16" t="str">
        <x:v>Preset browser</x:v>
      </x:c>
      <x:c r="D94" s="17" t="str">
        <x:v>Any</x:v>
      </x:c>
      <x:c r="E94" s="17" t="str">
        <x:v>Normal</x:v>
      </x:c>
      <x:c r="F94" s="17" t="str">
        <x:v>Encoder 3 button</x:v>
      </x:c>
      <x:c r="G94" s="17" t="str">
        <x:v>Hold</x:v>
      </x:c>
      <x:c r="H94" s="17" t="str">
        <x:v>Return to instrument engine</x:v>
      </x:c>
      <x:c r="I94" s="17" t="str">
        <x:v>Main engine page</x:v>
      </x:c>
      <x:c r="J94" s="17" t="str">
        <x:v>Proposed</x:v>
      </x:c>
      <x:c r="K94" s="17" t="str">
        <x:v>Workbook proposal</x:v>
      </x:c>
      <x:c r="L94" s="18" t="str"/>
    </x:row>
  </x:sheetData>
  <x:conditionalFormatting sqref="J6:J94">
    <x:cfRule type="containsText" dxfId="0" priority="1" operator="containsText" text="Defined"/>
    <x:cfRule type="containsText" dxfId="1" priority="2" operator="containsText" text="Proposed"/>
    <x:cfRule type="containsText" dxfId="2" priority="3" operator="containsText" text="Open"/>
  </x:conditionalFormatting>
  <x:dataValidations count="1">
    <x:dataValidation type="list" sqref="J6:J94">
      <x:formula1>"Defined,Proposed,Open"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8b5c49e3f747e0"/>
  </x:tableParts>
</x:worksheet>
</file>

<file path=xl/worksheets/sheet2.xml><?xml version="1.0" encoding="utf-8"?>
<x:worksheet xmlns:x="http://schemas.openxmlformats.org/spreadsheetml/2006/main">
  <x:sheetPr>
    <x:tabColor rgb="FF2F5D8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2" hidden="0" customWidth="1"/>
    <x:col min="4" max="4" width="36" hidden="0" customWidth="1"/>
    <x:col min="5" max="5" width="32" hidden="0" customWidth="1"/>
    <x:col min="6" max="6" width="48" hidden="0" customWidth="1"/>
    <x:col min="7" max="7" width="12" hidden="0" customWidth="1"/>
  </x:cols>
  <x:sheetData>
    <x:row r="1" ht="8" customHeight="1"/>
    <x:row r="2" ht="24" customHeight="1">
      <x:c r="A2" s="2" t="str">
        <x:v>Workspace Index</x:v>
      </x:c>
      <x:c r="B2" s="3"/>
      <x:c r="C2" s="3"/>
      <x:c r="D2" s="3"/>
      <x:c r="E2" s="3"/>
      <x:c r="F2" s="3"/>
      <x:c r="G2" s="3"/>
    </x:row>
    <x:row r="3" ht="24" customHeight="1">
      <x:c r="A3" s="4" t="str">
        <x:v>Navigation structure for operating modes, popovers, editors, and global utilities.</x:v>
      </x:c>
      <x:c r="B3" s="4"/>
      <x:c r="C3" s="4"/>
      <x:c r="D3" s="4"/>
      <x:c r="E3" s="4"/>
      <x:c r="F3" s="4"/>
      <x:c r="G3" s="4"/>
    </x:row>
    <x:row r="4" ht="24" customHeight="1"/>
    <x:row r="5" ht="24" customHeight="1">
      <x:c r="A5" s="23" t="str">
        <x:v>Mode</x:v>
      </x:c>
      <x:c r="B5" s="23" t="str">
        <x:v>Workspace</x:v>
      </x:c>
      <x:c r="C5" s="23" t="str">
        <x:v>Parent</x:v>
      </x:c>
      <x:c r="D5" s="23" t="str">
        <x:v>Entry</x:v>
      </x:c>
      <x:c r="E5" s="23" t="str">
        <x:v>Exit</x:v>
      </x:c>
      <x:c r="F5" s="23" t="str">
        <x:v>Purpose</x:v>
      </x:c>
      <x:c r="G5" s="23" t="str">
        <x:v>Status</x:v>
      </x:c>
    </x:row>
    <x:row r="6" ht="40" customHeight="1">
      <x:c r="A6" s="17" t="str">
        <x:v>Global utility</x:v>
      </x:c>
      <x:c r="B6" s="17" t="str">
        <x:v>Global utility root</x:v>
      </x:c>
      <x:c r="C6" s="17" t="str">
        <x:v>Operating mode</x:v>
      </x:c>
      <x:c r="D6" s="17" t="str">
        <x:v>Instrument Shift + Encoder 0; Field mapping still under review</x:v>
      </x:c>
      <x:c r="E6" s="17" t="str">
        <x:v>Encoder 3 hold</x:v>
      </x:c>
      <x:c r="F6" s="17" t="str">
        <x:v>Access Settings, Playback, Diagnostics, Maintenance, and system information</x:v>
      </x:c>
      <x:c r="G6" s="17" t="str">
        <x:v>Defined</x:v>
      </x:c>
    </x:row>
    <x:row r="7" ht="40" customHeight="1">
      <x:c r="A7" s="17" t="str">
        <x:v>Global utility</x:v>
      </x:c>
      <x:c r="B7" s="17" t="str">
        <x:v>Settings</x:v>
      </x:c>
      <x:c r="C7" s="17" t="str">
        <x:v>Global utility root</x:v>
      </x:c>
      <x:c r="D7" s="17" t="str">
        <x:v>Select Settings or Field Shift + Encoder 1</x:v>
      </x:c>
      <x:c r="E7" s="17" t="str">
        <x:v>Encoder 1 back; Encoder 3 hold exits utilities</x:v>
      </x:c>
      <x:c r="F7" s="17" t="str">
        <x:v>Persistent configuration</x:v>
      </x:c>
      <x:c r="G7" s="17" t="str">
        <x:v>Defined</x:v>
      </x:c>
    </x:row>
    <x:row r="8" ht="40" customHeight="1">
      <x:c r="A8" s="17" t="str">
        <x:v>Global utility</x:v>
      </x:c>
      <x:c r="B8" s="17" t="str">
        <x:v>Playback</x:v>
      </x:c>
      <x:c r="C8" s="17" t="str">
        <x:v>Global utility root</x:v>
      </x:c>
      <x:c r="D8" s="17" t="str">
        <x:v>Select Playback</x:v>
      </x:c>
      <x:c r="E8" s="17" t="str">
        <x:v>Encoder 1 back; Encoder 3 hold exits utilities</x:v>
      </x:c>
      <x:c r="F8" s="17" t="str">
        <x:v>Browse and replay Field captures and Instrument sessions</x:v>
      </x:c>
      <x:c r="G8" s="17" t="str">
        <x:v>Defined</x:v>
      </x:c>
    </x:row>
    <x:row r="9" ht="40" customHeight="1">
      <x:c r="A9" s="17" t="str">
        <x:v>Global utility</x:v>
      </x:c>
      <x:c r="B9" s="17" t="str">
        <x:v>Diagnostics</x:v>
      </x:c>
      <x:c r="C9" s="17" t="str">
        <x:v>Global utility root</x:v>
      </x:c>
      <x:c r="D9" s="17" t="str">
        <x:v>Select Diagnostics</x:v>
      </x:c>
      <x:c r="E9" s="17" t="str">
        <x:v>Encoder 1 back; Encoder 3 hold exits utilities</x:v>
      </x:c>
      <x:c r="F9" s="17" t="str">
        <x:v>System health, buses, sensors, storage, and core status</x:v>
      </x:c>
      <x:c r="G9" s="17" t="str">
        <x:v>Defined</x:v>
      </x:c>
    </x:row>
    <x:row r="10" ht="40" customHeight="1">
      <x:c r="A10" s="17" t="str">
        <x:v>Global utility</x:v>
      </x:c>
      <x:c r="B10" s="17" t="str">
        <x:v>Maintenance</x:v>
      </x:c>
      <x:c r="C10" s="17" t="str">
        <x:v>Global utility root</x:v>
      </x:c>
      <x:c r="D10" s="17" t="str">
        <x:v>Select Maintenance</x:v>
      </x:c>
      <x:c r="E10" s="17" t="str">
        <x:v>Encoder 1 back; Encoder 3 hold exits utilities</x:v>
      </x:c>
      <x:c r="F10" s="17" t="str">
        <x:v>Calibration, storage maintenance, updates, and service actions</x:v>
      </x:c>
      <x:c r="G10" s="17" t="str">
        <x:v>Defined</x:v>
      </x:c>
    </x:row>
    <x:row r="11" ht="40" customHeight="1">
      <x:c r="A11" s="17" t="str">
        <x:v>Global utility</x:v>
      </x:c>
      <x:c r="B11" s="17" t="str">
        <x:v>Text editor</x:v>
      </x:c>
      <x:c r="C11" s="17" t="str">
        <x:v>Invoking editor</x:v>
      </x:c>
      <x:c r="D11" s="17" t="str">
        <x:v>Macro name or another editable text field</x:v>
      </x:c>
      <x:c r="E11" s="17" t="str">
        <x:v>Save or cancel to caller</x:v>
      </x:c>
      <x:c r="F11" s="17" t="str">
        <x:v>Product-standardized text entry</x:v>
      </x:c>
      <x:c r="G11" s="17" t="str">
        <x:v>Proposed</x:v>
      </x:c>
    </x:row>
    <x:row r="12" ht="40" customHeight="1">
      <x:c r="A12" s="17" t="str">
        <x:v>Field</x:v>
      </x:c>
      <x:c r="B12" s="17" t="str">
        <x:v>Field engine page</x:v>
      </x:c>
      <x:c r="C12" s="17" t="str">
        <x:v>Field Mode</x:v>
      </x:c>
      <x:c r="D12" s="17" t="str">
        <x:v>Startup, mode switch, or engine selection</x:v>
      </x:c>
      <x:c r="E12" s="17" t="str">
        <x:v>Mode switch or utility entry</x:v>
      </x:c>
      <x:c r="F12" s="17" t="str">
        <x:v>Classic, Seek, Orbit, Manual, and future scan-engine performance</x:v>
      </x:c>
      <x:c r="G12" s="17" t="str">
        <x:v>Defined</x:v>
      </x:c>
    </x:row>
    <x:row r="13" ht="40" customHeight="1">
      <x:c r="A13" s="17" t="str">
        <x:v>Field</x:v>
      </x:c>
      <x:c r="B13" s="17" t="str">
        <x:v>Scan-engine selector</x:v>
      </x:c>
      <x:c r="C13" s="17" t="str">
        <x:v>Field engine page</x:v>
      </x:c>
      <x:c r="D13" s="17" t="str">
        <x:v>Hold Encoder 2 button</x:v>
      </x:c>
      <x:c r="E13" s="17" t="str">
        <x:v>Release Encoder 2 button</x:v>
      </x:c>
      <x:c r="F13" s="17" t="str">
        <x:v>Momentary engine-selection popover</x:v>
      </x:c>
      <x:c r="G13" s="17" t="str">
        <x:v>Defined</x:v>
      </x:c>
    </x:row>
    <x:row r="14" ht="40" customHeight="1">
      <x:c r="A14" s="17" t="str">
        <x:v>Field</x:v>
      </x:c>
      <x:c r="B14" s="17" t="str">
        <x:v>Manual engine page</x:v>
      </x:c>
      <x:c r="C14" s="17" t="str">
        <x:v>Field engine page</x:v>
      </x:c>
      <x:c r="D14" s="17" t="str">
        <x:v>Hold Encoder 0 button</x:v>
      </x:c>
      <x:c r="E14" s="17" t="str">
        <x:v>Hold Encoder 0 button again</x:v>
      </x:c>
      <x:c r="F14" s="17" t="str">
        <x:v>Direct tactile tuning with return-stack behavior</x:v>
      </x:c>
      <x:c r="G14" s="17" t="str">
        <x:v>Defined</x:v>
      </x:c>
    </x:row>
    <x:row r="15" ht="40" customHeight="1">
      <x:c r="A15" s="17" t="str">
        <x:v>Instrument</x:v>
      </x:c>
      <x:c r="B15" s="17" t="str">
        <x:v>Main engine page</x:v>
      </x:c>
      <x:c r="C15" s="17" t="str">
        <x:v>Instrument Mode</x:v>
      </x:c>
      <x:c r="D15" s="17" t="str">
        <x:v>Mode switch, preset load, or engine selection</x:v>
      </x:c>
      <x:c r="E15" s="17" t="str">
        <x:v>Mode switch, utility entry, or performance view</x:v>
      </x:c>
      <x:c r="F15" s="17" t="str">
        <x:v>Active sound engine and parameter pages</x:v>
      </x:c>
      <x:c r="G15" s="17" t="str">
        <x:v>Defined</x:v>
      </x:c>
    </x:row>
    <x:row r="16" ht="40" customHeight="1">
      <x:c r="A16" s="17" t="str">
        <x:v>Instrument</x:v>
      </x:c>
      <x:c r="B16" s="17" t="str">
        <x:v>Instrument-engine selector</x:v>
      </x:c>
      <x:c r="C16" s="17" t="str">
        <x:v>Main engine page</x:v>
      </x:c>
      <x:c r="D16" s="17" t="str">
        <x:v>Hold Encoder 1 button</x:v>
      </x:c>
      <x:c r="E16" s="17" t="str">
        <x:v>Release Encoder 1 button</x:v>
      </x:c>
      <x:c r="F16" s="17" t="str">
        <x:v>Momentary instrument-engine selection</x:v>
      </x:c>
      <x:c r="G16" s="17" t="str">
        <x:v>Defined</x:v>
      </x:c>
    </x:row>
    <x:row r="17" ht="40" customHeight="1">
      <x:c r="A17" s="17" t="str">
        <x:v>Instrument</x:v>
      </x:c>
      <x:c r="B17" s="17" t="str">
        <x:v>Performance-view selector</x:v>
      </x:c>
      <x:c r="C17" s="17" t="str">
        <x:v>Main engine page or performance view</x:v>
      </x:c>
      <x:c r="D17" s="17" t="str">
        <x:v>Hold Encoder 2 from main page; short Encoder 3 from several views</x:v>
      </x:c>
      <x:c r="E17" s="17" t="str">
        <x:v>Select view or return to engine</x:v>
      </x:c>
      <x:c r="F17" s="17" t="str">
        <x:v>Choose FX, Modulation, Macros, Sequencer, Presets, and future views</x:v>
      </x:c>
      <x:c r="G17" s="17" t="str">
        <x:v>Open</x:v>
      </x:c>
    </x:row>
    <x:row r="18" ht="40" customHeight="1">
      <x:c r="A18" s="17" t="str">
        <x:v>Instrument</x:v>
      </x:c>
      <x:c r="B18" s="17" t="str">
        <x:v>FX chain</x:v>
      </x:c>
      <x:c r="C18" s="17" t="str">
        <x:v>Performance views</x:v>
      </x:c>
      <x:c r="D18" s="17" t="str">
        <x:v>Select FX</x:v>
      </x:c>
      <x:c r="E18" s="17" t="str">
        <x:v>Encoder 3 hold</x:v>
      </x:c>
      <x:c r="F18" s="17" t="str">
        <x:v>Order effects, toggle bypass, and adjust top-level values</x:v>
      </x:c>
      <x:c r="G18" s="17" t="str">
        <x:v>Defined</x:v>
      </x:c>
    </x:row>
    <x:row r="19" ht="40" customHeight="1">
      <x:c r="A19" s="17" t="str">
        <x:v>Instrument</x:v>
      </x:c>
      <x:c r="B19" s="17" t="str">
        <x:v>Effect settings</x:v>
      </x:c>
      <x:c r="C19" s="17" t="str">
        <x:v>FX chain</x:v>
      </x:c>
      <x:c r="D19" s="17" t="str">
        <x:v>Short press Encoder 0 button on an effect</x:v>
      </x:c>
      <x:c r="E19" s="17" t="str">
        <x:v>Encoder 3 hold</x:v>
      </x:c>
      <x:c r="F19" s="17" t="str">
        <x:v>Effect-specific visualizer and parameter pages</x:v>
      </x:c>
      <x:c r="G19" s="17" t="str">
        <x:v>Defined</x:v>
      </x:c>
    </x:row>
    <x:row r="20" ht="40" customHeight="1">
      <x:c r="A20" s="17" t="str">
        <x:v>Instrument</x:v>
      </x:c>
      <x:c r="B20" s="17" t="str">
        <x:v>Modulation matrix</x:v>
      </x:c>
      <x:c r="C20" s="17" t="str">
        <x:v>Performance views</x:v>
      </x:c>
      <x:c r="D20" s="17" t="str">
        <x:v>Select Modulation</x:v>
      </x:c>
      <x:c r="E20" s="17" t="str">
        <x:v>Encoder 3 hold</x:v>
      </x:c>
      <x:c r="F20" s="17" t="str">
        <x:v>Route modulation sources to targets and edit amounts</x:v>
      </x:c>
      <x:c r="G20" s="17" t="str">
        <x:v>Defined</x:v>
      </x:c>
    </x:row>
    <x:row r="21" ht="40" customHeight="1">
      <x:c r="A21" s="17" t="str">
        <x:v>Instrument</x:v>
      </x:c>
      <x:c r="B21" s="17" t="str">
        <x:v>Mod-source settings</x:v>
      </x:c>
      <x:c r="C21" s="17" t="str">
        <x:v>Modulation matrix</x:v>
      </x:c>
      <x:c r="D21" s="17" t="str">
        <x:v>Hold Encoder 0 button on a source</x:v>
      </x:c>
      <x:c r="E21" s="17" t="str">
        <x:v>Proposed Encoder 3 hold</x:v>
      </x:c>
      <x:c r="F21" s="17" t="str">
        <x:v>Granular source-specific settings and visuals</x:v>
      </x:c>
      <x:c r="G21" s="17" t="str">
        <x:v>Proposed</x:v>
      </x:c>
    </x:row>
    <x:row r="22" ht="40" customHeight="1">
      <x:c r="A22" s="17" t="str">
        <x:v>Instrument</x:v>
      </x:c>
      <x:c r="B22" s="17" t="str">
        <x:v>Macro editor</x:v>
      </x:c>
      <x:c r="C22" s="17" t="str">
        <x:v>Performance views</x:v>
      </x:c>
      <x:c r="D22" s="17" t="str">
        <x:v>Select Macros</x:v>
      </x:c>
      <x:c r="E22" s="17" t="str">
        <x:v>Return mapping not fully defined</x:v>
      </x:c>
      <x:c r="F22" s="17" t="str">
        <x:v>Choose among four named macros</x:v>
      </x:c>
      <x:c r="G22" s="17" t="str">
        <x:v>Defined</x:v>
      </x:c>
    </x:row>
    <x:row r="23" ht="40" customHeight="1">
      <x:c r="A23" s="17" t="str">
        <x:v>Instrument</x:v>
      </x:c>
      <x:c r="B23" s="17" t="str">
        <x:v>Macro settings</x:v>
      </x:c>
      <x:c r="C23" s="17" t="str">
        <x:v>Macro editor</x:v>
      </x:c>
      <x:c r="D23" s="17" t="str">
        <x:v>Press Encoder 0 button on a macro</x:v>
      </x:c>
      <x:c r="E23" s="17" t="str">
        <x:v>Encoder 3 short or hold</x:v>
      </x:c>
      <x:c r="F23" s="17" t="str">
        <x:v>Rename macro and manage parameter mappings</x:v>
      </x:c>
      <x:c r="G23" s="17" t="str">
        <x:v>Defined</x:v>
      </x:c>
    </x:row>
    <x:row r="24" ht="40" customHeight="1">
      <x:c r="A24" s="17" t="str">
        <x:v>Instrument</x:v>
      </x:c>
      <x:c r="B24" s="17" t="str">
        <x:v>Sequencer</x:v>
      </x:c>
      <x:c r="C24" s="17" t="str">
        <x:v>Performance views</x:v>
      </x:c>
      <x:c r="D24" s="17" t="str">
        <x:v>Select Sequencer</x:v>
      </x:c>
      <x:c r="E24" s="17" t="str">
        <x:v>Encoder 3 short or hold</x:v>
      </x:c>
      <x:c r="F24" s="17" t="str">
        <x:v>Edit note bars and sequence settings</x:v>
      </x:c>
      <x:c r="G24" s="17" t="str">
        <x:v>Defined</x:v>
      </x:c>
    </x:row>
    <x:row r="25" ht="40" customHeight="1">
      <x:c r="A25" s="17" t="str">
        <x:v>Instrument</x:v>
      </x:c>
      <x:c r="B25" s="17" t="str">
        <x:v>Preset browser</x:v>
      </x:c>
      <x:c r="C25" s="17" t="str">
        <x:v>Performance views or parameter page</x:v>
      </x:c>
      <x:c r="D25" s="17" t="str">
        <x:v>Access mapping not yet selected</x:v>
      </x:c>
      <x:c r="E25" s="17" t="str">
        <x:v>Encoder 3 hold</x:v>
      </x:c>
      <x:c r="F25" s="17" t="str">
        <x:v>Save and load presets for the active instrument engine</x:v>
      </x:c>
      <x:c r="G25" s="17" t="str">
        <x:v>Proposed</x:v>
      </x:c>
    </x:row>
  </x:sheetData>
  <x:conditionalFormatting sqref="G6:G25">
    <x:cfRule type="containsText" dxfId="3" priority="1" operator="containsText" text="Open"/>
    <x:cfRule type="containsText" dxfId="4" priority="2" operator="containsText" text="Proposed"/>
  </x:conditionalFormatting>
  <x:pageMargins left="0.7" right="0.7" top="0.75" bottom="0.75" header="0.3" footer="0.3"/>
  <x:tableParts count="1">
    <x:tablePart xmlns:r="http://schemas.openxmlformats.org/officeDocument/2006/relationships" r:id="R819212c9026d4b7a"/>
  </x:tableParts>
</x:worksheet>
</file>

<file path=xl/worksheets/sheet3.xml><?xml version="1.0" encoding="utf-8"?>
<x:worksheet xmlns:x="http://schemas.openxmlformats.org/spreadsheetml/2006/main">
  <x:sheetPr>
    <x:tabColor rgb="FF28756E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62" hidden="0" customWidth="1"/>
    <x:col min="4" max="4" width="42" hidden="0" customWidth="1"/>
  </x:cols>
  <x:sheetData>
    <x:row r="1" ht="8" customHeight="1"/>
    <x:row r="2" ht="24" customHeight="1">
      <x:c r="A2" s="2" t="str">
        <x:v>Instrument Preset Model</x:v>
      </x:c>
      <x:c r="B2" s="3"/>
      <x:c r="C2" s="3"/>
      <x:c r="D2" s="3"/>
    </x:row>
    <x:row r="3" ht="24" customHeight="1">
      <x:c r="A3" s="4" t="str">
        <x:v>Recommended first scope for save and load behavior. Open items remain deliberately unresolved.</x:v>
      </x:c>
      <x:c r="B3" s="4"/>
      <x:c r="C3" s="4"/>
      <x:c r="D3" s="4"/>
    </x:row>
    <x:row r="4" ht="24" customHeight="1"/>
    <x:row r="5" ht="24" customHeight="1">
      <x:c r="A5" s="28" t="str">
        <x:v>State category</x:v>
      </x:c>
      <x:c r="B5" s="28" t="str">
        <x:v>Treatment</x:v>
      </x:c>
      <x:c r="C5" s="28" t="str">
        <x:v>Rationale</x:v>
      </x:c>
      <x:c r="D5" s="7"/>
    </x:row>
    <x:row r="6" ht="38" customHeight="1">
      <x:c r="A6" s="17" t="str">
        <x:v>Engine identity and schema version</x:v>
      </x:c>
      <x:c r="B6" s="17" t="str">
        <x:v>Include</x:v>
      </x:c>
      <x:c r="C6" s="17" t="str">
        <x:v>Required to reject or migrate incompatible presets.</x:v>
      </x:c>
      <x:c r="D6" s="13"/>
    </x:row>
    <x:row r="7" ht="38" customHeight="1">
      <x:c r="A7" s="17" t="str">
        <x:v>Engine-specific parameter values</x:v>
      </x:c>
      <x:c r="B7" s="17" t="str">
        <x:v>Include</x:v>
      </x:c>
      <x:c r="C7" s="17" t="str">
        <x:v>Core purpose of an instrument-engine preset.</x:v>
      </x:c>
      <x:c r="D7" s="13"/>
    </x:row>
    <x:row r="8" ht="38" customHeight="1">
      <x:c r="A8" s="17" t="str">
        <x:v>Macro names, mappings, depths, and polarities</x:v>
      </x:c>
      <x:c r="B8" s="17" t="str">
        <x:v>Include</x:v>
      </x:c>
      <x:c r="C8" s="17" t="str">
        <x:v>Keeps the engine's performance surface intact.</x:v>
      </x:c>
      <x:c r="D8" s="13"/>
    </x:row>
    <x:row r="9" ht="38" customHeight="1">
      <x:c r="A9" s="17" t="str">
        <x:v>Modulation routes and source settings</x:v>
      </x:c>
      <x:c r="B9" s="17" t="str">
        <x:v>Include</x:v>
      </x:c>
      <x:c r="C9" s="17" t="str">
        <x:v>Preserves the engine's expressive behavior.</x:v>
      </x:c>
      <x:c r="D9" s="13"/>
    </x:row>
    <x:row r="10" ht="38" customHeight="1">
      <x:c r="A10" s="17" t="str">
        <x:v>Sequencer pattern and engine-specific settings</x:v>
      </x:c>
      <x:c r="B10" s="17" t="str">
        <x:v>Include</x:v>
      </x:c>
      <x:c r="C10" s="17" t="str">
        <x:v>Useful when the sequence is part of the sound design.</x:v>
      </x:c>
      <x:c r="D10" s="13"/>
    </x:row>
    <x:row r="11" ht="38" customHeight="1">
      <x:c r="A11" s="17" t="str">
        <x:v>Slice markers and sample trim metadata</x:v>
      </x:c>
      <x:c r="B11" s="17" t="str">
        <x:v>Include</x:v>
      </x:c>
      <x:c r="C11" s="17" t="str">
        <x:v>Small metadata that defines how the source is played.</x:v>
      </x:c>
      <x:c r="D11" s="13"/>
    </x:row>
    <x:row r="12" ht="38" customHeight="1">
      <x:c r="A12" s="17" t="str">
        <x:v>Active sample audio</x:v>
      </x:c>
      <x:c r="B12" s="17" t="str">
        <x:v>Reference</x:v>
      </x:c>
      <x:c r="C12" s="17" t="str">
        <x:v>Store a stable file reference or copy policy; do not silently embed large audio in every preset.</x:v>
      </x:c>
      <x:c r="D12" s="13"/>
    </x:row>
    <x:row r="13" ht="38" customHeight="1">
      <x:c r="A13" s="17" t="str">
        <x:v>Effects chain</x:v>
      </x:c>
      <x:c r="B13" s="17" t="str">
        <x:v>Open</x:v>
      </x:c>
      <x:c r="C13" s="17" t="str">
        <x:v>Could belong to the engine preset, a separate FX preset, or a later full-scene format.</x:v>
      </x:c>
      <x:c r="D13" s="13"/>
    </x:row>
    <x:row r="14" ht="38" customHeight="1">
      <x:c r="A14" s="17" t="str">
        <x:v>External MIDI configuration</x:v>
      </x:c>
      <x:c r="B14" s="17" t="str">
        <x:v>Optional</x:v>
      </x:c>
      <x:c r="C14" s="17" t="str">
        <x:v>Include only settings that are meaningfully tied to this engine.</x:v>
      </x:c>
      <x:c r="D14" s="13"/>
    </x:row>
    <x:row r="15" ht="38" customHeight="1">
      <x:c r="A15" s="17" t="str">
        <x:v>Current UI page, highlight, or cursor</x:v>
      </x:c>
      <x:c r="B15" s="17" t="str">
        <x:v>Exclude</x:v>
      </x:c>
      <x:c r="C15" s="17" t="str">
        <x:v>Restore a predictable default performance page instead.</x:v>
      </x:c>
      <x:c r="D15" s="13"/>
    </x:row>
    <x:row r="16" ht="38" customHeight="1">
      <x:c r="A16" s="17" t="str">
        <x:v>Transient envelopes, held notes, and live grain state</x:v>
      </x:c>
      <x:c r="B16" s="17" t="str">
        <x:v>Exclude</x:v>
      </x:c>
      <x:c r="C16" s="17" t="str">
        <x:v>Runtime state should not leak into ordinary preset recall.</x:v>
      </x:c>
      <x:c r="D16" s="13"/>
    </x:row>
    <x:row r="17" ht="38" customHeight="1">
      <x:c r="A17" s="17" t="str">
        <x:v>Recording or rolling-buffer contents</x:v>
      </x:c>
      <x:c r="B17" s="17" t="str">
        <x:v>Exclude</x:v>
      </x:c>
      <x:c r="C17" s="17" t="str">
        <x:v>Presets may reference saved captures but should not contain active recording state.</x:v>
      </x:c>
      <x:c r="D17" s="13"/>
    </x:row>
    <x:row r="18" ht="38" customHeight="1">
      <x:c r="A18" s="13"/>
      <x:c r="B18" s="13"/>
      <x:c r="C18" s="13"/>
      <x:c r="D18" s="13"/>
    </x:row>
    <x:row r="19" ht="38" customHeight="1">
      <x:c r="A19" s="13"/>
      <x:c r="B19" s="13"/>
      <x:c r="C19" s="13"/>
      <x:c r="D19" s="13"/>
    </x:row>
    <x:row r="20" ht="38" customHeight="1">
      <x:c r="A20" s="29" t="str">
        <x:v>Operation</x:v>
      </x:c>
      <x:c r="B20" s="29" t="str">
        <x:v>Behavior</x:v>
      </x:c>
      <x:c r="C20" s="29" t="str">
        <x:v>Status</x:v>
      </x:c>
      <x:c r="D20" s="29" t="str">
        <x:v>Candidate control</x:v>
      </x:c>
    </x:row>
    <x:row r="21" ht="38" customHeight="1">
      <x:c r="A21" s="17" t="str">
        <x:v>Load</x:v>
      </x:c>
      <x:c r="B21" s="17" t="str">
        <x:v>Recall selected preset after compatibility validation</x:v>
      </x:c>
      <x:c r="C21" s="17" t="str">
        <x:v>Proposed</x:v>
      </x:c>
      <x:c r="D21" s="17" t="str">
        <x:v>Encoder 0 short press in Preset browser</x:v>
      </x:c>
    </x:row>
    <x:row r="22" ht="38" customHeight="1">
      <x:c r="A22" s="17" t="str">
        <x:v>Save New</x:v>
      </x:c>
      <x:c r="B22" s="17" t="str">
        <x:v>Capture current engine state under a new name</x:v>
      </x:c>
      <x:c r="C22" s="17" t="str">
        <x:v>Proposed</x:v>
      </x:c>
      <x:c r="D22" s="17" t="str">
        <x:v>Encoder 0 hold, then select Save New</x:v>
      </x:c>
    </x:row>
    <x:row r="23" ht="38" customHeight="1">
      <x:c r="A23" s="17" t="str">
        <x:v>Overwrite</x:v>
      </x:c>
      <x:c r="B23" s="17" t="str">
        <x:v>Replace an existing preset after explicit confirmation</x:v>
      </x:c>
      <x:c r="C23" s="17" t="str">
        <x:v>Proposed</x:v>
      </x:c>
      <x:c r="D23" s="17" t="str">
        <x:v>Encoder 0 hold, then select Overwrite</x:v>
      </x:c>
    </x:row>
    <x:row r="24" ht="38" customHeight="1">
      <x:c r="A24" s="17" t="str">
        <x:v>Rename</x:v>
      </x:c>
      <x:c r="B24" s="17" t="str">
        <x:v>Open the standardized text editor</x:v>
      </x:c>
      <x:c r="C24" s="17" t="str">
        <x:v>Open</x:v>
      </x:c>
      <x:c r="D24" s="17" t="str">
        <x:v>No control binding chosen</x:v>
      </x:c>
    </x:row>
    <x:row r="25" ht="38" customHeight="1">
      <x:c r="A25" s="17" t="str">
        <x:v>Delete</x:v>
      </x:c>
      <x:c r="B25" s="17" t="str">
        <x:v>Remove a user preset after confirmation</x:v>
      </x:c>
      <x:c r="C25" s="17" t="str">
        <x:v>Open</x:v>
      </x:c>
      <x:c r="D25" s="17" t="str">
        <x:v>No control binding chosen</x:v>
      </x:c>
    </x:row>
    <x:row r="26" ht="38" customHeight="1">
      <x:c r="A26" s="17" t="str">
        <x:v>Factory reset</x:v>
      </x:c>
      <x:c r="B26" s="17" t="str">
        <x:v>Restore built-in presets without deleting user captures</x:v>
      </x:c>
      <x:c r="C26" s="17" t="str">
        <x:v>Open</x:v>
      </x:c>
      <x:c r="D26" s="17" t="str">
        <x:v>Maintenance utility rather than ordinary preset browser</x:v>
      </x:c>
    </x:row>
  </x:sheetData>
  <x:conditionalFormatting sqref="B6:B17">
    <x:cfRule type="containsText" dxfId="5" priority="1" operator="containsText" text="Include"/>
    <x:cfRule type="containsText" dxfId="6" priority="2" operator="containsText" text="Open"/>
  </x:conditionalFormatting>
  <x:conditionalFormatting sqref="C21:C26">
    <x:cfRule type="containsText" dxfId="7" priority="3" operator="containsText" text="Open"/>
  </x:conditionalFormatting>
  <x:pageMargins left="0.7" right="0.7" top="0.75" bottom="0.75" header="0.3" footer="0.3"/>
  <x:tableParts count="2">
    <x:tablePart xmlns:r="http://schemas.openxmlformats.org/officeDocument/2006/relationships" r:id="R49ff08820554485d"/>
    <x:tablePart xmlns:r="http://schemas.openxmlformats.org/officeDocument/2006/relationships" r:id="R355432e8efa243c6"/>
  </x:tableParts>
</x:worksheet>
</file>

<file path=xl/worksheets/sheet4.xml><?xml version="1.0" encoding="utf-8"?>
<x:worksheet xmlns:x="http://schemas.openxmlformats.org/spreadsheetml/2006/main">
  <x:sheetPr>
    <x:tabColor rgb="FFB76E2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52" hidden="0" customWidth="1"/>
    <x:col min="4" max="4" width="48" hidden="0" customWidth="1"/>
    <x:col min="5" max="5" width="50" hidden="0" customWidth="1"/>
    <x:col min="6" max="6" width="12" hidden="0" customWidth="1"/>
  </x:cols>
  <x:sheetData>
    <x:row r="1" ht="8" customHeight="1"/>
    <x:row r="2" ht="24" customHeight="1">
      <x:c r="A2" s="2" t="str">
        <x:v>Open Control Decisions</x:v>
      </x:c>
      <x:c r="B2" s="3"/>
      <x:c r="C2" s="3"/>
      <x:c r="D2" s="3"/>
      <x:c r="E2" s="3"/>
      <x:c r="F2" s="3"/>
    </x:row>
    <x:row r="3" ht="24" customHeight="1">
      <x:c r="A3" s="4" t="str">
        <x:v>Questions that affect consistency, safety, or the ability to learn the physical interface.</x:v>
      </x:c>
      <x:c r="B3" s="4"/>
      <x:c r="C3" s="4"/>
      <x:c r="D3" s="4"/>
      <x:c r="E3" s="4"/>
      <x:c r="F3" s="4"/>
    </x:row>
    <x:row r="4" ht="24" customHeight="1">
      <x:c r="A4" s="7" t="str">
        <x:v>Open items</x:v>
      </x:c>
      <x:c r="B4" s="7" t="n">
        <x:f>COUNTA(A6:A21)</x:f>
        <x:v>16</x:v>
      </x:c>
      <x:c r="C4" s="7"/>
      <x:c r="D4" s="7" t="str">
        <x:v>High priority</x:v>
      </x:c>
      <x:c r="E4" s="7" t="n">
        <x:f>COUNTIF(F6:F21,"High")</x:f>
        <x:v>9</x:v>
      </x:c>
      <x:c r="F4" s="7"/>
    </x:row>
    <x:row r="5" ht="24" customHeight="1">
      <x:c r="A5" s="34" t="str">
        <x:v>Decision ID</x:v>
      </x:c>
      <x:c r="B5" s="34" t="str">
        <x:v>Area</x:v>
      </x:c>
      <x:c r="C5" s="34" t="str">
        <x:v>Question</x:v>
      </x:c>
      <x:c r="D5" s="34" t="str">
        <x:v>Why it matters</x:v>
      </x:c>
      <x:c r="E5" s="34" t="str">
        <x:v>Suggested next test</x:v>
      </x:c>
      <x:c r="F5" s="34" t="str">
        <x:v>Priority</x:v>
      </x:c>
    </x:row>
    <x:row r="6" ht="46" customHeight="1">
      <x:c r="A6" s="16" t="str">
        <x:v>D-001</x:v>
      </x:c>
      <x:c r="B6" s="17" t="str">
        <x:v>Shift layer</x:v>
      </x:c>
      <x:c r="C6" s="17" t="str">
        <x:v>Should Field Shift open Settings directly or the global utility root?</x:v>
      </x:c>
      <x:c r="D6" s="17" t="str">
        <x:v>Current Field and Instrument Shift mappings differ.</x:v>
      </x:c>
      <x:c r="E6" s="17" t="str">
        <x:v>Test both on hardware; count actions needed for Playback and Diagnostics.</x:v>
      </x:c>
      <x:c r="F6" s="17" t="str">
        <x:v>High</x:v>
      </x:c>
    </x:row>
    <x:row r="7" ht="46" customHeight="1">
      <x:c r="A7" s="16" t="str">
        <x:v>D-002</x:v>
      </x:c>
      <x:c r="B7" s="17" t="str">
        <x:v>Encoder 3 hold</x:v>
      </x:c>
      <x:c r="C7" s="17" t="str">
        <x:v>What is the context-priority rule for Shift, exit, and back actions?</x:v>
      </x:c>
      <x:c r="D7" s="17" t="str">
        <x:v>The same hold enters Shift on engine pages but exits utilities and returns from editors.</x:v>
      </x:c>
      <x:c r="E7" s="17" t="str">
        <x:v>Write a one-line precedence rule and test every workspace transition.</x:v>
      </x:c>
      <x:c r="F7" s="17" t="str">
        <x:v>High</x:v>
      </x:c>
    </x:row>
    <x:row r="8" ht="46" customHeight="1">
      <x:c r="A8" s="16" t="str">
        <x:v>D-003</x:v>
      </x:c>
      <x:c r="B8" s="17" t="str">
        <x:v>Selectors</x:v>
      </x:c>
      <x:c r="C8" s="17" t="str">
        <x:v>Is the performance-view destination a momentary popover or a persistent top-level menu?</x:v>
      </x:c>
      <x:c r="D8" s="17" t="str">
        <x:v>Several pages say Encoder 3 short returns to a top-level performance menu.</x:v>
      </x:c>
      <x:c r="E8" s="17" t="str">
        <x:v>Prototype both with FX and Sequencer navigation.</x:v>
      </x:c>
      <x:c r="F8" s="17" t="str">
        <x:v>High</x:v>
      </x:c>
    </x:row>
    <x:row r="9" ht="46" customHeight="1">
      <x:c r="A9" s="16" t="str">
        <x:v>D-004</x:v>
      </x:c>
      <x:c r="B9" s="17" t="str">
        <x:v>Instrument pages</x:v>
      </x:c>
      <x:c r="C9" s="17" t="str">
        <x:v>What belongs on main-engine parameter pages versus full Macro, Modulation, and Sequencer editors?</x:v>
      </x:c>
      <x:c r="D9" s="17" t="str">
        <x:v>Duplicated access can feel powerful or confusing depending on scope.</x:v>
      </x:c>
      <x:c r="E9" s="17" t="str">
        <x:v>Limit engine pages to live performance controls; reserve structural editing for full views.</x:v>
      </x:c>
      <x:c r="F9" s="17" t="str">
        <x:v>High</x:v>
      </x:c>
    </x:row>
    <x:row r="10" ht="46" customHeight="1">
      <x:c r="A10" s="16" t="str">
        <x:v>D-005</x:v>
      </x:c>
      <x:c r="B10" s="17" t="str">
        <x:v>Popovers</x:v>
      </x:c>
      <x:c r="C10" s="17" t="str">
        <x:v>Does release always commit the highlighted engine or view, and how does the user cancel?</x:v>
      </x:c>
      <x:c r="D10" s="17" t="str">
        <x:v>A slip during a hold could switch engines unintentionally.</x:v>
      </x:c>
      <x:c r="E10" s="17" t="str">
        <x:v>Test release-to-commit against returning to the original item when no movement occurred.</x:v>
      </x:c>
      <x:c r="F10" s="17" t="str">
        <x:v>High</x:v>
      </x:c>
    </x:row>
    <x:row r="11" ht="46" customHeight="1">
      <x:c r="A11" s="16" t="str">
        <x:v>D-006</x:v>
      </x:c>
      <x:c r="B11" s="17" t="str">
        <x:v>Chord timing</x:v>
      </x:c>
      <x:c r="C11" s="17" t="str">
        <x:v>What hold and chord-resolution timing feels reliable?</x:v>
      </x:c>
      <x:c r="D11" s="17" t="str">
        <x:v>Shift plus buttons 0 and 1 must not fire Button 0 early.</x:v>
      </x:c>
      <x:c r="E11" s="17" t="str">
        <x:v>Measure comfortable timings on the physical controls and suppress release-side short presses.</x:v>
      </x:c>
      <x:c r="F11" s="17" t="str">
        <x:v>High</x:v>
      </x:c>
    </x:row>
    <x:row r="12" ht="46" customHeight="1">
      <x:c r="A12" s="16" t="str">
        <x:v>D-007</x:v>
      </x:c>
      <x:c r="B12" s="17" t="str">
        <x:v>Presets</x:v>
      </x:c>
      <x:c r="C12" s="17" t="str">
        <x:v>Where is the Preset browser entered from?</x:v>
      </x:c>
      <x:c r="D12" s="17" t="str">
        <x:v>Save and load are required, but no access gesture has been selected.</x:v>
      </x:c>
      <x:c r="E12" s="17" t="str">
        <x:v>Compare a performance-view entry with a dedicated parameter page.</x:v>
      </x:c>
      <x:c r="F12" s="17" t="str">
        <x:v>High</x:v>
      </x:c>
    </x:row>
    <x:row r="13" ht="46" customHeight="1">
      <x:c r="A13" s="16" t="str">
        <x:v>D-008</x:v>
      </x:c>
      <x:c r="B13" s="17" t="str">
        <x:v>Presets</x:v>
      </x:c>
      <x:c r="C13" s="17" t="str">
        <x:v>Does an engine preset include the FX chain?</x:v>
      </x:c>
      <x:c r="D13" s="17" t="str">
        <x:v>Including FX gives complete sounds; excluding it supports reusable global chains.</x:v>
      </x:c>
      <x:c r="E13" s="17" t="str">
        <x:v>Start with engine state plus macros/modulation/sequencer; test separate FX presets.</x:v>
      </x:c>
      <x:c r="F13" s="17" t="str">
        <x:v>Medium</x:v>
      </x:c>
    </x:row>
    <x:row r="14" ht="46" customHeight="1">
      <x:c r="A14" s="16" t="str">
        <x:v>D-009</x:v>
      </x:c>
      <x:c r="B14" s="17" t="str">
        <x:v>Presets</x:v>
      </x:c>
      <x:c r="C14" s="17" t="str">
        <x:v>How are sample files referenced, copied, moved, or missing?</x:v>
      </x:c>
      <x:c r="D14" s="17" t="str">
        <x:v>A preset can become unusable if its source audio changes location.</x:v>
      </x:c>
      <x:c r="E14" s="17" t="str">
        <x:v>Define stable asset IDs and a missing-source repair flow.</x:v>
      </x:c>
      <x:c r="F14" s="17" t="str">
        <x:v>High</x:v>
      </x:c>
    </x:row>
    <x:row r="15" ht="46" customHeight="1">
      <x:c r="A15" s="16" t="str">
        <x:v>D-010</x:v>
      </x:c>
      <x:c r="B15" s="17" t="str">
        <x:v>Macro editor</x:v>
      </x:c>
      <x:c r="C15" s="17" t="str">
        <x:v>How are mappings deleted or reordered?</x:v>
      </x:c>
      <x:c r="D15" s="17" t="str">
        <x:v>The current design only adds mappings and changes amount.</x:v>
      </x:c>
      <x:c r="E15" s="17" t="str">
        <x:v>Try hold-to-open an item menu rather than overloading ordinary presses.</x:v>
      </x:c>
      <x:c r="F15" s="17" t="str">
        <x:v>Medium</x:v>
      </x:c>
    </x:row>
    <x:row r="16" ht="46" customHeight="1">
      <x:c r="A16" s="16" t="str">
        <x:v>D-011</x:v>
      </x:c>
      <x:c r="B16" s="17" t="str">
        <x:v>Mod source settings</x:v>
      </x:c>
      <x:c r="C16" s="17" t="str">
        <x:v>Should Encoder 3 short cycle pages and hold return to the matrix?</x:v>
      </x:c>
      <x:c r="D16" s="17" t="str">
        <x:v>This was inferred from the shared parameter-page pattern.</x:v>
      </x:c>
      <x:c r="E16" s="17" t="str">
        <x:v>Validate against Effect settings on the prototype.</x:v>
      </x:c>
      <x:c r="F16" s="17" t="str">
        <x:v>Medium</x:v>
      </x:c>
    </x:row>
    <x:row r="17" ht="46" customHeight="1">
      <x:c r="A17" s="16" t="str">
        <x:v>D-012</x:v>
      </x:c>
      <x:c r="B17" s="17" t="str">
        <x:v>Sequencer</x:v>
      </x:c>
      <x:c r="C17" s="17" t="str">
        <x:v>How does focus return from sequencer settings to note bars?</x:v>
      </x:c>
      <x:c r="D17" s="17" t="str">
        <x:v>Only entry into settings is currently defined.</x:v>
      </x:c>
      <x:c r="E17" s="17" t="str">
        <x:v>Test Encoder 1 back versus Encoder 0 hold as the inverse action.</x:v>
      </x:c>
      <x:c r="F17" s="17" t="str">
        <x:v>Medium</x:v>
      </x:c>
    </x:row>
    <x:row r="18" ht="46" customHeight="1">
      <x:c r="A18" s="16" t="str">
        <x:v>D-013</x:v>
      </x:c>
      <x:c r="B18" s="17" t="str">
        <x:v>Instrument injection</x:v>
      </x:c>
      <x:c r="C18" s="17" t="str">
        <x:v>How does Button 0 choose layered, ducked, or exclusive mic injection?</x:v>
      </x:c>
      <x:c r="D18" s="17" t="str">
        <x:v>The state must be visible and should not change destructively.</x:v>
      </x:c>
      <x:c r="E18" s="17" t="str">
        <x:v>Prototype a three-state cycle with a clear OLED and button-light indication.</x:v>
      </x:c>
      <x:c r="F18" s="17" t="str">
        <x:v>Medium</x:v>
      </x:c>
    </x:row>
    <x:row r="19" ht="46" customHeight="1">
      <x:c r="A19" s="16" t="str">
        <x:v>D-014</x:v>
      </x:c>
      <x:c r="B19" s="17" t="str">
        <x:v>FX chain</x:v>
      </x:c>
      <x:c r="C19" s="17" t="str">
        <x:v>Are three inline effect parameters always useful, and how are they assigned?</x:v>
      </x:c>
      <x:c r="D19" s="17" t="str">
        <x:v>Effects have different parameter priorities.</x:v>
      </x:c>
      <x:c r="E19" s="17" t="str">
        <x:v>Let each effect define up to three quick parameters with stable defaults.</x:v>
      </x:c>
      <x:c r="F19" s="17" t="str">
        <x:v>Medium</x:v>
      </x:c>
    </x:row>
    <x:row r="20" ht="46" customHeight="1">
      <x:c r="A20" s="16" t="str">
        <x:v>D-015</x:v>
      </x:c>
      <x:c r="B20" s="17" t="str">
        <x:v>Recording safety</x:v>
      </x:c>
      <x:c r="C20" s="17" t="str">
        <x:v>Which navigation and preset actions are restricted while recording?</x:v>
      </x:c>
      <x:c r="D20" s="17" t="str">
        <x:v>Loading presets or changing engines may interrupt or invalidate a capture.</x:v>
      </x:c>
      <x:c r="E20" s="17" t="str">
        <x:v>Create an explicit safe, deferred, or blocked policy for each action.</x:v>
      </x:c>
      <x:c r="F20" s="17" t="str">
        <x:v>High</x:v>
      </x:c>
    </x:row>
    <x:row r="21" ht="46" customHeight="1">
      <x:c r="A21" s="16" t="str">
        <x:v>D-016</x:v>
      </x:c>
      <x:c r="B21" s="17" t="str">
        <x:v>Page colors</x:v>
      </x:c>
      <x:c r="C21" s="17" t="str">
        <x:v>Which colors are reserved for parameter pages, warnings, and mode identity?</x:v>
      </x:c>
      <x:c r="D21" s="17" t="str">
        <x:v>Using the same colors for unrelated meanings weakens the learned cue.</x:v>
      </x:c>
      <x:c r="E21" s="17" t="str">
        <x:v>Build a small semantic color vocabulary before asset production.</x:v>
      </x:c>
      <x:c r="F21" s="17" t="str">
        <x:v>Medium</x:v>
      </x:c>
    </x:row>
  </x:sheetData>
  <x:conditionalFormatting sqref="F6:F21">
    <x:cfRule type="containsText" dxfId="8" priority="1" operator="containsText" text="High"/>
    <x:cfRule type="containsText" dxfId="9" priority="2" operator="containsText" text="Medium"/>
  </x:conditionalFormatting>
  <x:dataValidations count="1">
    <x:dataValidation type="list" sqref="F6:F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cfcadf0ae54b19"/>
  </x:tableParts>
</x:worksheet>
</file>